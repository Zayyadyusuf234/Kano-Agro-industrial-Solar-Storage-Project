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Yusuf Zayyad\Desktop\PFI\FOR GITHUB\"/>
    </mc:Choice>
  </mc:AlternateContent>
  <xr:revisionPtr revIDLastSave="0" documentId="13_ncr:1_{8EA22E27-6BB8-4334-B8BC-2CAF4722A908}" xr6:coauthVersionLast="47" xr6:coauthVersionMax="47" xr10:uidLastSave="{00000000-0000-0000-0000-000000000000}"/>
  <bookViews>
    <workbookView xWindow="-120" yWindow="-120" windowWidth="20730" windowHeight="11040" tabRatio="500" xr2:uid="{00000000-000D-0000-FFFF-FFFF00000000}"/>
  </bookViews>
  <sheets>
    <sheet name="Cover" sheetId="1" r:id="rId1"/>
    <sheet name="Assumptions" sheetId="2" r:id="rId2"/>
    <sheet name="Model" sheetId="3" r:id="rId3"/>
    <sheet name="Debt" sheetId="4" r:id="rId4"/>
    <sheet name="Financials" sheetId="5" r:id="rId5"/>
    <sheet name="Returns" sheetId="6" r:id="rId6"/>
    <sheet name="Sensitivities" sheetId="7" r:id="rId7"/>
    <sheet name="Dashboard" sheetId="8"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X49" i="7" l="1"/>
  <c r="E19" i="7"/>
  <c r="F12" i="7"/>
  <c r="X29" i="5"/>
  <c r="W29" i="5"/>
  <c r="V29" i="5"/>
  <c r="U29" i="5"/>
  <c r="T29" i="5"/>
  <c r="S29" i="5"/>
  <c r="R29" i="5"/>
  <c r="Q29" i="5"/>
  <c r="P29" i="5"/>
  <c r="O29" i="5"/>
  <c r="N29" i="5"/>
  <c r="M29" i="5"/>
  <c r="L29" i="5"/>
  <c r="K29" i="5"/>
  <c r="J29" i="5"/>
  <c r="I29" i="5"/>
  <c r="H29" i="5"/>
  <c r="G29" i="5"/>
  <c r="F29" i="5"/>
  <c r="E29" i="5"/>
  <c r="X28" i="5"/>
  <c r="N9" i="5"/>
  <c r="X30" i="4"/>
  <c r="X14" i="7" s="1"/>
  <c r="X15" i="7" s="1"/>
  <c r="W30" i="4"/>
  <c r="W24" i="7" s="1"/>
  <c r="W25" i="7" s="1"/>
  <c r="V30" i="4"/>
  <c r="U30" i="4"/>
  <c r="U22" i="5" s="1"/>
  <c r="T30" i="4"/>
  <c r="T54" i="7" s="1"/>
  <c r="T55" i="7" s="1"/>
  <c r="S30" i="4"/>
  <c r="S34" i="7" s="1"/>
  <c r="S35" i="7" s="1"/>
  <c r="X22" i="4"/>
  <c r="W22" i="4"/>
  <c r="V22" i="4"/>
  <c r="V23" i="4" s="1"/>
  <c r="U22" i="4"/>
  <c r="T22" i="4"/>
  <c r="S22" i="4"/>
  <c r="R22" i="4"/>
  <c r="Q22" i="4"/>
  <c r="P22" i="4"/>
  <c r="O22" i="4"/>
  <c r="N22" i="4"/>
  <c r="M22" i="4"/>
  <c r="L22" i="4"/>
  <c r="K22" i="4"/>
  <c r="J22" i="4"/>
  <c r="I22" i="4"/>
  <c r="H22" i="4"/>
  <c r="G22" i="4"/>
  <c r="F22" i="4"/>
  <c r="E22" i="4"/>
  <c r="X21" i="4"/>
  <c r="W21" i="4"/>
  <c r="W23" i="4" s="1"/>
  <c r="V21" i="4"/>
  <c r="U21" i="4"/>
  <c r="T21" i="4"/>
  <c r="T23" i="4" s="1"/>
  <c r="S21" i="4"/>
  <c r="S23" i="4" s="1"/>
  <c r="D11" i="4"/>
  <c r="G28" i="3"/>
  <c r="G29" i="3" s="1"/>
  <c r="F28" i="3"/>
  <c r="F29" i="3" s="1"/>
  <c r="F16" i="5" s="1"/>
  <c r="X27" i="3"/>
  <c r="W27" i="3"/>
  <c r="V27" i="3"/>
  <c r="U27" i="3"/>
  <c r="T27" i="3"/>
  <c r="S27" i="3"/>
  <c r="R27" i="3"/>
  <c r="Q27" i="3"/>
  <c r="P27" i="3"/>
  <c r="O27" i="3"/>
  <c r="N27" i="3"/>
  <c r="M27" i="3"/>
  <c r="L27" i="3"/>
  <c r="K27" i="3"/>
  <c r="J27" i="3"/>
  <c r="I27" i="3"/>
  <c r="H27" i="3"/>
  <c r="G27" i="3"/>
  <c r="F27" i="3"/>
  <c r="E27" i="3"/>
  <c r="E25" i="3" s="1"/>
  <c r="G25" i="3"/>
  <c r="F25" i="3"/>
  <c r="X14" i="3"/>
  <c r="W14" i="3"/>
  <c r="V14" i="3"/>
  <c r="U14" i="3"/>
  <c r="T14" i="3"/>
  <c r="S14" i="3"/>
  <c r="R14" i="3"/>
  <c r="Q14" i="3"/>
  <c r="P14" i="3"/>
  <c r="O14" i="3"/>
  <c r="N14" i="3"/>
  <c r="M14" i="3"/>
  <c r="L14" i="3"/>
  <c r="K14" i="3"/>
  <c r="J14" i="3"/>
  <c r="I14" i="3"/>
  <c r="H14" i="3"/>
  <c r="G14" i="3"/>
  <c r="F14" i="3"/>
  <c r="E14" i="3"/>
  <c r="Q11" i="3"/>
  <c r="Q15" i="3" s="1"/>
  <c r="Q9" i="5" s="1"/>
  <c r="N11" i="3"/>
  <c r="N15" i="3" s="1"/>
  <c r="M11" i="3"/>
  <c r="M15" i="3" s="1"/>
  <c r="E11" i="3"/>
  <c r="E15" i="3" s="1"/>
  <c r="X10" i="3"/>
  <c r="W10" i="3"/>
  <c r="V10" i="3"/>
  <c r="U10" i="3"/>
  <c r="N10" i="3"/>
  <c r="M10" i="3"/>
  <c r="L10" i="3"/>
  <c r="K10" i="3"/>
  <c r="K9" i="7" s="1"/>
  <c r="J10" i="3"/>
  <c r="X9" i="3"/>
  <c r="W9" i="3"/>
  <c r="V9" i="3"/>
  <c r="U9" i="3"/>
  <c r="T9" i="3"/>
  <c r="T10" i="3" s="1"/>
  <c r="S9" i="3"/>
  <c r="S10" i="3" s="1"/>
  <c r="R9" i="3"/>
  <c r="R10" i="3" s="1"/>
  <c r="Q9" i="3"/>
  <c r="Q10" i="3" s="1"/>
  <c r="P9" i="3"/>
  <c r="P10" i="3" s="1"/>
  <c r="P11" i="3" s="1"/>
  <c r="P15" i="3" s="1"/>
  <c r="O9" i="3"/>
  <c r="O10" i="3" s="1"/>
  <c r="O11" i="3" s="1"/>
  <c r="O15" i="3" s="1"/>
  <c r="N9" i="3"/>
  <c r="M9" i="3"/>
  <c r="L9" i="3"/>
  <c r="K9" i="3"/>
  <c r="J9" i="3"/>
  <c r="I9" i="3"/>
  <c r="I10" i="3" s="1"/>
  <c r="H9" i="3"/>
  <c r="H10" i="3" s="1"/>
  <c r="H9" i="7" s="1"/>
  <c r="G9" i="3"/>
  <c r="G10" i="3" s="1"/>
  <c r="F9" i="3"/>
  <c r="F10" i="3" s="1"/>
  <c r="E9" i="3"/>
  <c r="E10" i="3" s="1"/>
  <c r="D41" i="2"/>
  <c r="D30" i="2"/>
  <c r="D43" i="2" s="1"/>
  <c r="D48" i="2" s="1"/>
  <c r="S10" i="6" l="1"/>
  <c r="S11" i="6" s="1"/>
  <c r="T10" i="6"/>
  <c r="T11" i="6" s="1"/>
  <c r="U10" i="6"/>
  <c r="U11" i="6" s="1"/>
  <c r="T14" i="7"/>
  <c r="T15" i="7" s="1"/>
  <c r="S22" i="5"/>
  <c r="D7" i="4"/>
  <c r="D9" i="4" s="1"/>
  <c r="X23" i="4"/>
  <c r="W10" i="6"/>
  <c r="W11" i="6" s="1"/>
  <c r="U24" i="7"/>
  <c r="U25" i="7" s="1"/>
  <c r="Q18" i="3"/>
  <c r="Q30" i="7" s="1"/>
  <c r="M18" i="3"/>
  <c r="M10" i="7" s="1"/>
  <c r="E18" i="3"/>
  <c r="E10" i="5" s="1"/>
  <c r="P9" i="5"/>
  <c r="I49" i="7"/>
  <c r="I29" i="7"/>
  <c r="I19" i="7"/>
  <c r="I11" i="3"/>
  <c r="I15" i="3" s="1"/>
  <c r="I39" i="7"/>
  <c r="I9" i="7"/>
  <c r="O9" i="5"/>
  <c r="M9" i="5"/>
  <c r="F9" i="7"/>
  <c r="F39" i="7"/>
  <c r="F29" i="7"/>
  <c r="F19" i="7"/>
  <c r="F49" i="7"/>
  <c r="F11" i="3"/>
  <c r="F15" i="3" s="1"/>
  <c r="G29" i="7"/>
  <c r="G39" i="7"/>
  <c r="G49" i="7"/>
  <c r="G11" i="3"/>
  <c r="G15" i="3" s="1"/>
  <c r="U49" i="7"/>
  <c r="U29" i="7"/>
  <c r="U19" i="7"/>
  <c r="U39" i="7"/>
  <c r="U11" i="3"/>
  <c r="U15" i="3" s="1"/>
  <c r="U9" i="7"/>
  <c r="V29" i="7"/>
  <c r="V39" i="7"/>
  <c r="V19" i="7"/>
  <c r="V9" i="7"/>
  <c r="V49" i="7"/>
  <c r="V11" i="3"/>
  <c r="V15" i="3" s="1"/>
  <c r="D28" i="8"/>
  <c r="E9" i="5"/>
  <c r="O18" i="3"/>
  <c r="O19" i="3" s="1"/>
  <c r="J29" i="7"/>
  <c r="J19" i="7"/>
  <c r="J9" i="7"/>
  <c r="J49" i="7"/>
  <c r="J39" i="7"/>
  <c r="J11" i="3"/>
  <c r="J15" i="3" s="1"/>
  <c r="P18" i="3"/>
  <c r="S29" i="7"/>
  <c r="S9" i="7"/>
  <c r="S39" i="7"/>
  <c r="S49" i="7"/>
  <c r="S19" i="7"/>
  <c r="S11" i="3"/>
  <c r="S15" i="3" s="1"/>
  <c r="H19" i="7"/>
  <c r="H49" i="7"/>
  <c r="H11" i="3"/>
  <c r="H15" i="3" s="1"/>
  <c r="H39" i="7"/>
  <c r="H29" i="7"/>
  <c r="W29" i="7"/>
  <c r="W19" i="7"/>
  <c r="W39" i="7"/>
  <c r="W49" i="7"/>
  <c r="W11" i="3"/>
  <c r="W15" i="3" s="1"/>
  <c r="W9" i="7"/>
  <c r="G16" i="5"/>
  <c r="G21" i="5"/>
  <c r="M50" i="7"/>
  <c r="G9" i="7"/>
  <c r="N18" i="3"/>
  <c r="N19" i="3" s="1"/>
  <c r="O19" i="7"/>
  <c r="O49" i="7"/>
  <c r="O39" i="7"/>
  <c r="O9" i="7"/>
  <c r="O29" i="7"/>
  <c r="K29" i="7"/>
  <c r="K49" i="7"/>
  <c r="K11" i="3"/>
  <c r="K15" i="3" s="1"/>
  <c r="K39" i="7"/>
  <c r="K19" i="7"/>
  <c r="T39" i="7"/>
  <c r="T29" i="7"/>
  <c r="T19" i="7"/>
  <c r="T49" i="7"/>
  <c r="T11" i="3"/>
  <c r="T15" i="3" s="1"/>
  <c r="T9" i="7"/>
  <c r="X19" i="7"/>
  <c r="X29" i="7"/>
  <c r="X9" i="7"/>
  <c r="X11" i="3"/>
  <c r="X15" i="3" s="1"/>
  <c r="X39" i="7"/>
  <c r="X18" i="3"/>
  <c r="L18" i="3"/>
  <c r="W18" i="3"/>
  <c r="K18" i="3"/>
  <c r="V18" i="3"/>
  <c r="J18" i="3"/>
  <c r="U18" i="3"/>
  <c r="I18" i="3"/>
  <c r="R18" i="3"/>
  <c r="F18" i="3"/>
  <c r="T18" i="3"/>
  <c r="H18" i="3"/>
  <c r="G18" i="3"/>
  <c r="S18" i="3"/>
  <c r="P49" i="7"/>
  <c r="P9" i="7"/>
  <c r="P39" i="7"/>
  <c r="P29" i="7"/>
  <c r="P19" i="7"/>
  <c r="L19" i="7"/>
  <c r="L49" i="7"/>
  <c r="L9" i="7"/>
  <c r="L39" i="7"/>
  <c r="L11" i="3"/>
  <c r="L15" i="3" s="1"/>
  <c r="L29" i="7"/>
  <c r="E9" i="7"/>
  <c r="E39" i="7"/>
  <c r="E29" i="7"/>
  <c r="E49" i="7"/>
  <c r="Q9" i="7"/>
  <c r="Q39" i="7"/>
  <c r="Q29" i="7"/>
  <c r="Q49" i="7"/>
  <c r="Q19" i="7"/>
  <c r="M19" i="7"/>
  <c r="M9" i="7"/>
  <c r="M49" i="7"/>
  <c r="M39" i="7"/>
  <c r="M29" i="7"/>
  <c r="R9" i="7"/>
  <c r="R39" i="7"/>
  <c r="R49" i="7"/>
  <c r="R29" i="7"/>
  <c r="R19" i="7"/>
  <c r="R11" i="3"/>
  <c r="R15" i="3" s="1"/>
  <c r="F21" i="5"/>
  <c r="G19" i="7"/>
  <c r="U23" i="4"/>
  <c r="D26" i="6"/>
  <c r="D31" i="8" s="1"/>
  <c r="E28" i="3"/>
  <c r="E29" i="3" s="1"/>
  <c r="N39" i="7"/>
  <c r="N19" i="7"/>
  <c r="N49" i="7"/>
  <c r="N9" i="7"/>
  <c r="N29" i="7"/>
  <c r="P27" i="5"/>
  <c r="D14" i="4"/>
  <c r="U14" i="7"/>
  <c r="U15" i="7" s="1"/>
  <c r="U54" i="7"/>
  <c r="U55" i="7" s="1"/>
  <c r="U44" i="7"/>
  <c r="U45" i="7" s="1"/>
  <c r="U34" i="7"/>
  <c r="U35" i="7" s="1"/>
  <c r="V44" i="7"/>
  <c r="V45" i="7" s="1"/>
  <c r="V14" i="7"/>
  <c r="V15" i="7" s="1"/>
  <c r="V54" i="7"/>
  <c r="V55" i="7" s="1"/>
  <c r="V34" i="7"/>
  <c r="V35" i="7" s="1"/>
  <c r="V10" i="6"/>
  <c r="V11" i="6" s="1"/>
  <c r="V22" i="5"/>
  <c r="V24" i="7"/>
  <c r="V25" i="7" s="1"/>
  <c r="W27" i="5"/>
  <c r="E12" i="7"/>
  <c r="E22" i="7"/>
  <c r="E52" i="7"/>
  <c r="E32" i="7"/>
  <c r="W14" i="7"/>
  <c r="W15" i="7" s="1"/>
  <c r="W44" i="7"/>
  <c r="W45" i="7" s="1"/>
  <c r="W54" i="7"/>
  <c r="W55" i="7" s="1"/>
  <c r="W34" i="7"/>
  <c r="W35" i="7" s="1"/>
  <c r="W22" i="5"/>
  <c r="D8" i="4"/>
  <c r="V27" i="5" s="1"/>
  <c r="X10" i="6"/>
  <c r="X11" i="6" s="1"/>
  <c r="X44" i="7"/>
  <c r="X45" i="7" s="1"/>
  <c r="X34" i="7"/>
  <c r="X35" i="7" s="1"/>
  <c r="X54" i="7"/>
  <c r="X55" i="7" s="1"/>
  <c r="X24" i="7"/>
  <c r="X25" i="7" s="1"/>
  <c r="X22" i="5"/>
  <c r="E42" i="7"/>
  <c r="T22" i="5"/>
  <c r="F52" i="7"/>
  <c r="F22" i="7"/>
  <c r="F32" i="7"/>
  <c r="F42" i="7"/>
  <c r="G32" i="7"/>
  <c r="G22" i="7"/>
  <c r="G12" i="7"/>
  <c r="S24" i="7"/>
  <c r="S25" i="7" s="1"/>
  <c r="S14" i="7"/>
  <c r="S15" i="7" s="1"/>
  <c r="S44" i="7"/>
  <c r="S45" i="7" s="1"/>
  <c r="S54" i="7"/>
  <c r="S55" i="7" s="1"/>
  <c r="G42" i="7"/>
  <c r="T24" i="7"/>
  <c r="T25" i="7" s="1"/>
  <c r="T44" i="7"/>
  <c r="T45" i="7" s="1"/>
  <c r="T34" i="7"/>
  <c r="T35" i="7" s="1"/>
  <c r="G52" i="7"/>
  <c r="E10" i="7" l="1"/>
  <c r="Q19" i="3"/>
  <c r="Q20" i="5" s="1"/>
  <c r="E20" i="7"/>
  <c r="E21" i="7" s="1"/>
  <c r="E23" i="7" s="1"/>
  <c r="Q10" i="7"/>
  <c r="Q11" i="7" s="1"/>
  <c r="M20" i="7"/>
  <c r="E50" i="7"/>
  <c r="M19" i="3"/>
  <c r="M20" i="3" s="1"/>
  <c r="Q10" i="5"/>
  <c r="Q11" i="5" s="1"/>
  <c r="M10" i="5"/>
  <c r="M11" i="5" s="1"/>
  <c r="Q40" i="7"/>
  <c r="Q41" i="7" s="1"/>
  <c r="M30" i="7"/>
  <c r="M31" i="7" s="1"/>
  <c r="Q50" i="7"/>
  <c r="Q51" i="7" s="1"/>
  <c r="M40" i="7"/>
  <c r="Q20" i="7"/>
  <c r="Q31" i="7"/>
  <c r="Q27" i="5"/>
  <c r="E30" i="7"/>
  <c r="E31" i="7" s="1"/>
  <c r="E33" i="7" s="1"/>
  <c r="J12" i="5"/>
  <c r="E19" i="3"/>
  <c r="E32" i="3" s="1"/>
  <c r="E9" i="6" s="1"/>
  <c r="E40" i="7"/>
  <c r="E41" i="7" s="1"/>
  <c r="E43" i="7" s="1"/>
  <c r="P12" i="5"/>
  <c r="Q12" i="5"/>
  <c r="X27" i="5"/>
  <c r="X30" i="5" s="1"/>
  <c r="U12" i="5"/>
  <c r="S12" i="5"/>
  <c r="E51" i="7"/>
  <c r="E53" i="7" s="1"/>
  <c r="F12" i="5"/>
  <c r="W12" i="5"/>
  <c r="M12" i="5"/>
  <c r="O27" i="5"/>
  <c r="H12" i="5"/>
  <c r="M41" i="7"/>
  <c r="T12" i="5"/>
  <c r="M51" i="7"/>
  <c r="E11" i="5"/>
  <c r="H27" i="5"/>
  <c r="M11" i="7"/>
  <c r="S27" i="5"/>
  <c r="G12" i="5"/>
  <c r="L27" i="5"/>
  <c r="G27" i="5"/>
  <c r="N12" i="5"/>
  <c r="U27" i="5"/>
  <c r="E11" i="7"/>
  <c r="E13" i="7" s="1"/>
  <c r="N27" i="5"/>
  <c r="T27" i="5"/>
  <c r="I12" i="5"/>
  <c r="O12" i="5"/>
  <c r="X12" i="5"/>
  <c r="M21" i="7"/>
  <c r="N21" i="4"/>
  <c r="N20" i="5"/>
  <c r="N20" i="3"/>
  <c r="J10" i="7"/>
  <c r="J11" i="7" s="1"/>
  <c r="J20" i="7"/>
  <c r="J21" i="7" s="1"/>
  <c r="J30" i="7"/>
  <c r="J31" i="7" s="1"/>
  <c r="J10" i="5"/>
  <c r="J40" i="7"/>
  <c r="J41" i="7" s="1"/>
  <c r="J50" i="7"/>
  <c r="U9" i="5"/>
  <c r="U19" i="3"/>
  <c r="D13" i="8"/>
  <c r="D24" i="6"/>
  <c r="E28" i="4"/>
  <c r="T9" i="5"/>
  <c r="T19" i="3"/>
  <c r="D29" i="8"/>
  <c r="E21" i="4"/>
  <c r="H9" i="5"/>
  <c r="H19" i="3"/>
  <c r="R9" i="5"/>
  <c r="R19" i="3"/>
  <c r="Q21" i="7"/>
  <c r="X10" i="7"/>
  <c r="X11" i="7" s="1"/>
  <c r="X40" i="7"/>
  <c r="X41" i="7" s="1"/>
  <c r="X10" i="5"/>
  <c r="X30" i="7"/>
  <c r="X31" i="7" s="1"/>
  <c r="X50" i="7"/>
  <c r="X51" i="7" s="1"/>
  <c r="X20" i="7"/>
  <c r="X21" i="7" s="1"/>
  <c r="V9" i="5"/>
  <c r="V19" i="3"/>
  <c r="Q20" i="3"/>
  <c r="Q21" i="4"/>
  <c r="V12" i="5"/>
  <c r="R12" i="5"/>
  <c r="K12" i="5"/>
  <c r="J27" i="5"/>
  <c r="L12" i="5"/>
  <c r="I27" i="5"/>
  <c r="F27" i="5"/>
  <c r="D23" i="3"/>
  <c r="R27" i="5"/>
  <c r="M27" i="5"/>
  <c r="L19" i="3"/>
  <c r="L9" i="5"/>
  <c r="H20" i="7"/>
  <c r="H21" i="7" s="1"/>
  <c r="H50" i="7"/>
  <c r="H51" i="7" s="1"/>
  <c r="H10" i="7"/>
  <c r="H11" i="7" s="1"/>
  <c r="H30" i="7"/>
  <c r="H31" i="7" s="1"/>
  <c r="H10" i="5"/>
  <c r="H40" i="7"/>
  <c r="H41" i="7" s="1"/>
  <c r="D30" i="6"/>
  <c r="S9" i="5"/>
  <c r="S19" i="3"/>
  <c r="P20" i="7"/>
  <c r="P21" i="7" s="1"/>
  <c r="P30" i="7"/>
  <c r="P31" i="7" s="1"/>
  <c r="P50" i="7"/>
  <c r="P51" i="7" s="1"/>
  <c r="P10" i="5"/>
  <c r="P11" i="5" s="1"/>
  <c r="P10" i="7"/>
  <c r="P11" i="7" s="1"/>
  <c r="P40" i="7"/>
  <c r="P41" i="7" s="1"/>
  <c r="V50" i="7"/>
  <c r="V51" i="7" s="1"/>
  <c r="V40" i="7"/>
  <c r="V41" i="7" s="1"/>
  <c r="V30" i="7"/>
  <c r="V31" i="7" s="1"/>
  <c r="V10" i="7"/>
  <c r="V11" i="7" s="1"/>
  <c r="V10" i="5"/>
  <c r="V20" i="7"/>
  <c r="V21" i="7" s="1"/>
  <c r="J9" i="5"/>
  <c r="J19" i="3"/>
  <c r="K30" i="7"/>
  <c r="K31" i="7" s="1"/>
  <c r="K10" i="7"/>
  <c r="K11" i="7" s="1"/>
  <c r="K40" i="7"/>
  <c r="K41" i="7" s="1"/>
  <c r="K20" i="7"/>
  <c r="K21" i="7" s="1"/>
  <c r="K10" i="5"/>
  <c r="K50" i="7"/>
  <c r="K51" i="7" s="1"/>
  <c r="W30" i="7"/>
  <c r="W31" i="7" s="1"/>
  <c r="W10" i="7"/>
  <c r="W11" i="7" s="1"/>
  <c r="W10" i="5"/>
  <c r="W50" i="7"/>
  <c r="W51" i="7" s="1"/>
  <c r="W40" i="7"/>
  <c r="W41" i="7" s="1"/>
  <c r="W20" i="7"/>
  <c r="W21" i="7" s="1"/>
  <c r="J51" i="7"/>
  <c r="P19" i="3"/>
  <c r="S20" i="7"/>
  <c r="S21" i="7" s="1"/>
  <c r="S50" i="7"/>
  <c r="S51" i="7" s="1"/>
  <c r="S40" i="7"/>
  <c r="S41" i="7" s="1"/>
  <c r="S30" i="7"/>
  <c r="S31" i="7" s="1"/>
  <c r="S10" i="7"/>
  <c r="S11" i="7" s="1"/>
  <c r="S10" i="5"/>
  <c r="L10" i="7"/>
  <c r="L11" i="7" s="1"/>
  <c r="L40" i="7"/>
  <c r="L41" i="7" s="1"/>
  <c r="L10" i="5"/>
  <c r="L20" i="7"/>
  <c r="L21" i="7" s="1"/>
  <c r="L50" i="7"/>
  <c r="L51" i="7" s="1"/>
  <c r="L30" i="7"/>
  <c r="L31" i="7" s="1"/>
  <c r="G20" i="7"/>
  <c r="G21" i="7" s="1"/>
  <c r="G23" i="7" s="1"/>
  <c r="G50" i="7"/>
  <c r="G51" i="7" s="1"/>
  <c r="G53" i="7" s="1"/>
  <c r="G10" i="7"/>
  <c r="G11" i="7" s="1"/>
  <c r="G13" i="7" s="1"/>
  <c r="G30" i="7"/>
  <c r="G31" i="7" s="1"/>
  <c r="G33" i="7" s="1"/>
  <c r="G40" i="7"/>
  <c r="G41" i="7" s="1"/>
  <c r="G43" i="7" s="1"/>
  <c r="G10" i="5"/>
  <c r="G9" i="5"/>
  <c r="G19" i="3"/>
  <c r="O20" i="5"/>
  <c r="O21" i="4"/>
  <c r="O20" i="3"/>
  <c r="E12" i="5"/>
  <c r="E13" i="5" s="1"/>
  <c r="E27" i="5"/>
  <c r="K27" i="5"/>
  <c r="T20" i="7"/>
  <c r="T21" i="7" s="1"/>
  <c r="T50" i="7"/>
  <c r="T51" i="7" s="1"/>
  <c r="T10" i="7"/>
  <c r="T11" i="7" s="1"/>
  <c r="T40" i="7"/>
  <c r="T41" i="7" s="1"/>
  <c r="T30" i="7"/>
  <c r="T31" i="7" s="1"/>
  <c r="T10" i="5"/>
  <c r="N10" i="7"/>
  <c r="N11" i="7" s="1"/>
  <c r="N50" i="7"/>
  <c r="N51" i="7" s="1"/>
  <c r="N20" i="7"/>
  <c r="N21" i="7" s="1"/>
  <c r="N10" i="5"/>
  <c r="N11" i="5" s="1"/>
  <c r="N40" i="7"/>
  <c r="N41" i="7" s="1"/>
  <c r="N30" i="7"/>
  <c r="W9" i="5"/>
  <c r="W19" i="3"/>
  <c r="O30" i="7"/>
  <c r="O31" i="7" s="1"/>
  <c r="O10" i="7"/>
  <c r="O11" i="7" s="1"/>
  <c r="O50" i="7"/>
  <c r="O51" i="7" s="1"/>
  <c r="O10" i="5"/>
  <c r="O11" i="5" s="1"/>
  <c r="O13" i="5" s="1"/>
  <c r="O40" i="7"/>
  <c r="O41" i="7" s="1"/>
  <c r="O20" i="7"/>
  <c r="O21" i="7" s="1"/>
  <c r="I9" i="5"/>
  <c r="I19" i="3"/>
  <c r="X9" i="5"/>
  <c r="X19" i="3"/>
  <c r="N31" i="7"/>
  <c r="E16" i="5"/>
  <c r="E21" i="5"/>
  <c r="R41" i="7"/>
  <c r="I10" i="7"/>
  <c r="I11" i="7" s="1"/>
  <c r="I50" i="7"/>
  <c r="I51" i="7" s="1"/>
  <c r="I40" i="7"/>
  <c r="I41" i="7" s="1"/>
  <c r="I10" i="5"/>
  <c r="I30" i="7"/>
  <c r="I31" i="7" s="1"/>
  <c r="I20" i="7"/>
  <c r="I21" i="7" s="1"/>
  <c r="F40" i="7"/>
  <c r="F41" i="7" s="1"/>
  <c r="F43" i="7" s="1"/>
  <c r="F20" i="7"/>
  <c r="F21" i="7" s="1"/>
  <c r="F23" i="7" s="1"/>
  <c r="F30" i="7"/>
  <c r="F31" i="7" s="1"/>
  <c r="F33" i="7" s="1"/>
  <c r="F10" i="7"/>
  <c r="F11" i="7" s="1"/>
  <c r="F13" i="7" s="1"/>
  <c r="F10" i="5"/>
  <c r="F50" i="7"/>
  <c r="F51" i="7" s="1"/>
  <c r="F53" i="7" s="1"/>
  <c r="R40" i="7"/>
  <c r="R50" i="7"/>
  <c r="R51" i="7" s="1"/>
  <c r="R10" i="7"/>
  <c r="R11" i="7" s="1"/>
  <c r="R10" i="5"/>
  <c r="R20" i="7"/>
  <c r="R21" i="7" s="1"/>
  <c r="R30" i="7"/>
  <c r="R31" i="7" s="1"/>
  <c r="F9" i="5"/>
  <c r="F19" i="3"/>
  <c r="K9" i="5"/>
  <c r="K19" i="3"/>
  <c r="U10" i="7"/>
  <c r="U20" i="7"/>
  <c r="U21" i="7" s="1"/>
  <c r="U50" i="7"/>
  <c r="U51" i="7" s="1"/>
  <c r="U40" i="7"/>
  <c r="U41" i="7" s="1"/>
  <c r="U30" i="7"/>
  <c r="U31" i="7" s="1"/>
  <c r="U10" i="5"/>
  <c r="U11" i="7"/>
  <c r="Q13" i="5" l="1"/>
  <c r="M21" i="4"/>
  <c r="M23" i="4" s="1"/>
  <c r="P13" i="5"/>
  <c r="M20" i="5"/>
  <c r="E30" i="6"/>
  <c r="E20" i="3"/>
  <c r="D30" i="8" s="1"/>
  <c r="E20" i="5"/>
  <c r="F11" i="5"/>
  <c r="F13" i="5" s="1"/>
  <c r="V11" i="5"/>
  <c r="V13" i="5" s="1"/>
  <c r="M13" i="5"/>
  <c r="I11" i="5"/>
  <c r="I13" i="5" s="1"/>
  <c r="J11" i="5"/>
  <c r="J13" i="5" s="1"/>
  <c r="K11" i="5"/>
  <c r="K13" i="5" s="1"/>
  <c r="X11" i="5"/>
  <c r="X13" i="5" s="1"/>
  <c r="N13" i="5"/>
  <c r="H11" i="5"/>
  <c r="H13" i="5" s="1"/>
  <c r="I21" i="4"/>
  <c r="I20" i="5"/>
  <c r="I20" i="3"/>
  <c r="K21" i="4"/>
  <c r="K20" i="5"/>
  <c r="K20" i="3"/>
  <c r="W20" i="5"/>
  <c r="W20" i="3"/>
  <c r="V20" i="5"/>
  <c r="V20" i="3"/>
  <c r="R20" i="5"/>
  <c r="R20" i="3"/>
  <c r="R21" i="4"/>
  <c r="W11" i="5"/>
  <c r="W13" i="5" s="1"/>
  <c r="R11" i="5"/>
  <c r="R13" i="5" s="1"/>
  <c r="T20" i="5"/>
  <c r="T20" i="3"/>
  <c r="T11" i="5"/>
  <c r="T13" i="5" s="1"/>
  <c r="G20" i="5"/>
  <c r="G32" i="3"/>
  <c r="G9" i="6" s="1"/>
  <c r="G20" i="3"/>
  <c r="G30" i="6"/>
  <c r="G21" i="4"/>
  <c r="L11" i="5"/>
  <c r="L13" i="5" s="1"/>
  <c r="G11" i="5"/>
  <c r="G13" i="5" s="1"/>
  <c r="L21" i="4"/>
  <c r="L20" i="5"/>
  <c r="L20" i="3"/>
  <c r="E24" i="3"/>
  <c r="E26" i="3" s="1"/>
  <c r="F24" i="3" s="1"/>
  <c r="F26" i="3" s="1"/>
  <c r="G24" i="3" s="1"/>
  <c r="G26" i="3" s="1"/>
  <c r="H24" i="3" s="1"/>
  <c r="H25" i="3" s="1"/>
  <c r="O23" i="4"/>
  <c r="P20" i="5"/>
  <c r="P20" i="3"/>
  <c r="P21" i="4"/>
  <c r="E23" i="4"/>
  <c r="U20" i="3"/>
  <c r="U20" i="5"/>
  <c r="J21" i="4"/>
  <c r="J20" i="5"/>
  <c r="J20" i="3"/>
  <c r="U11" i="5"/>
  <c r="U13" i="5" s="1"/>
  <c r="X20" i="5"/>
  <c r="X20" i="3"/>
  <c r="S20" i="5"/>
  <c r="S20" i="3"/>
  <c r="F32" i="3"/>
  <c r="F9" i="6" s="1"/>
  <c r="F20" i="3"/>
  <c r="F30" i="6"/>
  <c r="F21" i="4"/>
  <c r="F20" i="5"/>
  <c r="S11" i="5"/>
  <c r="S13" i="5" s="1"/>
  <c r="Q23" i="4"/>
  <c r="E29" i="4"/>
  <c r="E14" i="5" s="1"/>
  <c r="E15" i="5" s="1"/>
  <c r="E17" i="5" s="1"/>
  <c r="H20" i="5"/>
  <c r="H20" i="3"/>
  <c r="H21" i="4"/>
  <c r="N23" i="4"/>
  <c r="I23" i="4" l="1"/>
  <c r="J23" i="4"/>
  <c r="P23" i="4"/>
  <c r="L23" i="4"/>
  <c r="K23" i="4"/>
  <c r="H26" i="3"/>
  <c r="I24" i="3" s="1"/>
  <c r="H23" i="4"/>
  <c r="R23" i="4"/>
  <c r="F23" i="4"/>
  <c r="G23" i="4"/>
  <c r="D24" i="4" l="1"/>
  <c r="D25" i="4" s="1"/>
  <c r="O30" i="4" s="1"/>
  <c r="L30" i="4"/>
  <c r="K30" i="4"/>
  <c r="R30" i="4"/>
  <c r="I25" i="3"/>
  <c r="I26" i="3" s="1"/>
  <c r="J24" i="3" s="1"/>
  <c r="I30" i="4" l="1"/>
  <c r="F30" i="4"/>
  <c r="F14" i="7" s="1"/>
  <c r="G30" i="4"/>
  <c r="G44" i="7" s="1"/>
  <c r="P30" i="4"/>
  <c r="P22" i="5" s="1"/>
  <c r="N30" i="4"/>
  <c r="N34" i="7" s="1"/>
  <c r="Q30" i="4"/>
  <c r="Q54" i="7" s="1"/>
  <c r="M30" i="4"/>
  <c r="M14" i="7" s="1"/>
  <c r="J30" i="4"/>
  <c r="J34" i="7" s="1"/>
  <c r="E30" i="4"/>
  <c r="E24" i="7" s="1"/>
  <c r="H30" i="4"/>
  <c r="H14" i="7" s="1"/>
  <c r="J25" i="3"/>
  <c r="J26" i="3" s="1"/>
  <c r="K24" i="3" s="1"/>
  <c r="I14" i="7"/>
  <c r="I44" i="7"/>
  <c r="I54" i="7"/>
  <c r="I24" i="7"/>
  <c r="I22" i="5"/>
  <c r="I10" i="6"/>
  <c r="I34" i="7"/>
  <c r="R10" i="6"/>
  <c r="R24" i="7"/>
  <c r="R44" i="7"/>
  <c r="R34" i="7"/>
  <c r="R22" i="5"/>
  <c r="R54" i="7"/>
  <c r="R14" i="7"/>
  <c r="N14" i="7"/>
  <c r="N44" i="7"/>
  <c r="F24" i="7"/>
  <c r="F22" i="5"/>
  <c r="F10" i="6"/>
  <c r="F11" i="6" s="1"/>
  <c r="F54" i="7"/>
  <c r="F44" i="7"/>
  <c r="K44" i="7"/>
  <c r="K54" i="7"/>
  <c r="K34" i="7"/>
  <c r="K10" i="6"/>
  <c r="K24" i="7"/>
  <c r="K14" i="7"/>
  <c r="K22" i="5"/>
  <c r="L10" i="6"/>
  <c r="L44" i="7"/>
  <c r="L54" i="7"/>
  <c r="L14" i="7"/>
  <c r="L24" i="7"/>
  <c r="L22" i="5"/>
  <c r="L34" i="7"/>
  <c r="G14" i="7"/>
  <c r="G22" i="5"/>
  <c r="P14" i="7"/>
  <c r="P54" i="7"/>
  <c r="M54" i="7"/>
  <c r="M34" i="7"/>
  <c r="M22" i="5"/>
  <c r="M44" i="7"/>
  <c r="J44" i="7"/>
  <c r="J14" i="7"/>
  <c r="J24" i="7"/>
  <c r="J54" i="7"/>
  <c r="J10" i="6"/>
  <c r="E10" i="6"/>
  <c r="E11" i="6" s="1"/>
  <c r="E14" i="7"/>
  <c r="H10" i="6"/>
  <c r="H22" i="5"/>
  <c r="H54" i="7"/>
  <c r="O34" i="7"/>
  <c r="O24" i="7"/>
  <c r="O22" i="5"/>
  <c r="O10" i="6"/>
  <c r="O14" i="7"/>
  <c r="O54" i="7"/>
  <c r="O44" i="7"/>
  <c r="P44" i="7" l="1"/>
  <c r="H24" i="7"/>
  <c r="P10" i="6"/>
  <c r="E31" i="4"/>
  <c r="E32" i="4" s="1"/>
  <c r="E32" i="5" s="1"/>
  <c r="P34" i="7"/>
  <c r="E44" i="7"/>
  <c r="G24" i="7"/>
  <c r="D10" i="4"/>
  <c r="D12" i="4" s="1"/>
  <c r="M24" i="7"/>
  <c r="G34" i="7"/>
  <c r="G35" i="7" s="1"/>
  <c r="F34" i="7"/>
  <c r="E22" i="5"/>
  <c r="M10" i="6"/>
  <c r="G54" i="7"/>
  <c r="G55" i="7" s="1"/>
  <c r="E54" i="7"/>
  <c r="G10" i="6"/>
  <c r="G11" i="6" s="1"/>
  <c r="J22" i="5"/>
  <c r="Q34" i="7"/>
  <c r="N54" i="7"/>
  <c r="Q22" i="5"/>
  <c r="Q14" i="7"/>
  <c r="Q44" i="7"/>
  <c r="Q24" i="7"/>
  <c r="Q10" i="6"/>
  <c r="H44" i="7"/>
  <c r="E34" i="7"/>
  <c r="E35" i="7" s="1"/>
  <c r="N22" i="5"/>
  <c r="H34" i="7"/>
  <c r="P24" i="7"/>
  <c r="N24" i="7"/>
  <c r="N10" i="6"/>
  <c r="G25" i="7"/>
  <c r="G15" i="7"/>
  <c r="F35" i="7"/>
  <c r="E15" i="7"/>
  <c r="F45" i="7"/>
  <c r="E25" i="7"/>
  <c r="F55" i="7"/>
  <c r="E55" i="7"/>
  <c r="F15" i="7"/>
  <c r="G45" i="7"/>
  <c r="F25" i="7"/>
  <c r="E45" i="7"/>
  <c r="D12" i="8"/>
  <c r="D23" i="6"/>
  <c r="D15" i="4"/>
  <c r="K25" i="3"/>
  <c r="K26" i="3" s="1"/>
  <c r="L24" i="3" s="1"/>
  <c r="E35" i="4" l="1"/>
  <c r="F28" i="4"/>
  <c r="F29" i="4"/>
  <c r="P33" i="5"/>
  <c r="D14" i="8"/>
  <c r="M33" i="5"/>
  <c r="D26" i="7"/>
  <c r="D16" i="7"/>
  <c r="V33" i="5"/>
  <c r="I33" i="5"/>
  <c r="D36" i="7"/>
  <c r="T33" i="5"/>
  <c r="E33" i="5"/>
  <c r="S33" i="5"/>
  <c r="Q33" i="5"/>
  <c r="W33" i="5"/>
  <c r="D46" i="7"/>
  <c r="U33" i="5"/>
  <c r="R33" i="5"/>
  <c r="N33" i="5"/>
  <c r="H33" i="5"/>
  <c r="G33" i="5"/>
  <c r="F33" i="5"/>
  <c r="D56" i="7"/>
  <c r="D25" i="6"/>
  <c r="D24" i="5"/>
  <c r="X33" i="5"/>
  <c r="O33" i="5"/>
  <c r="L33" i="5"/>
  <c r="K33" i="5"/>
  <c r="J33" i="5"/>
  <c r="D16" i="4"/>
  <c r="D18" i="4" s="1"/>
  <c r="D15" i="8" s="1"/>
  <c r="L25" i="3"/>
  <c r="L26" i="3" s="1"/>
  <c r="M24" i="3" s="1"/>
  <c r="E28" i="5"/>
  <c r="E30" i="5" s="1"/>
  <c r="E36" i="4"/>
  <c r="M25" i="3" l="1"/>
  <c r="M26" i="3" s="1"/>
  <c r="N24" i="3" s="1"/>
  <c r="E23" i="5"/>
  <c r="E24" i="5" s="1"/>
  <c r="E34" i="5" s="1"/>
  <c r="E16" i="7"/>
  <c r="E26" i="7"/>
  <c r="E56" i="7"/>
  <c r="E36" i="7"/>
  <c r="E46" i="7"/>
  <c r="F14" i="5"/>
  <c r="F15" i="5" s="1"/>
  <c r="F17" i="5" s="1"/>
  <c r="F31" i="4"/>
  <c r="F32" i="4" s="1"/>
  <c r="N25" i="3" l="1"/>
  <c r="N26" i="3" s="1"/>
  <c r="O24" i="3" s="1"/>
  <c r="F35" i="4"/>
  <c r="G28" i="4"/>
  <c r="F32" i="5"/>
  <c r="E35" i="5"/>
  <c r="E36" i="5" s="1"/>
  <c r="O25" i="3" l="1"/>
  <c r="O26" i="3" s="1"/>
  <c r="P24" i="3" s="1"/>
  <c r="G29" i="4"/>
  <c r="F28" i="5"/>
  <c r="F30" i="5" s="1"/>
  <c r="F36" i="4"/>
  <c r="P25" i="3" l="1"/>
  <c r="P26" i="3" s="1"/>
  <c r="Q24" i="3" s="1"/>
  <c r="F23" i="5"/>
  <c r="F24" i="5" s="1"/>
  <c r="F36" i="7"/>
  <c r="F26" i="7"/>
  <c r="F56" i="7"/>
  <c r="F16" i="7"/>
  <c r="F46" i="7"/>
  <c r="G14" i="5"/>
  <c r="G15" i="5" s="1"/>
  <c r="G17" i="5" s="1"/>
  <c r="G31" i="4"/>
  <c r="G32" i="4" s="1"/>
  <c r="G32" i="5" l="1"/>
  <c r="H28" i="4"/>
  <c r="G35" i="4"/>
  <c r="F34" i="5"/>
  <c r="Q25" i="3"/>
  <c r="Q26" i="3" s="1"/>
  <c r="R24" i="3" s="1"/>
  <c r="R25" i="3" l="1"/>
  <c r="R26" i="3" s="1"/>
  <c r="S24" i="3" s="1"/>
  <c r="F35" i="5"/>
  <c r="F36" i="5" s="1"/>
  <c r="G36" i="4"/>
  <c r="G28" i="5"/>
  <c r="G30" i="5" s="1"/>
  <c r="H29" i="4"/>
  <c r="S25" i="3" l="1"/>
  <c r="S26" i="3" s="1"/>
  <c r="T24" i="3" s="1"/>
  <c r="G23" i="5"/>
  <c r="G24" i="5" s="1"/>
  <c r="G46" i="7"/>
  <c r="G56" i="7"/>
  <c r="G26" i="7"/>
  <c r="G16" i="7"/>
  <c r="G36" i="7"/>
  <c r="H14" i="5"/>
  <c r="H15" i="5" s="1"/>
  <c r="H22" i="7"/>
  <c r="H23" i="7" s="1"/>
  <c r="H32" i="7"/>
  <c r="H33" i="7" s="1"/>
  <c r="H42" i="7"/>
  <c r="H43" i="7" s="1"/>
  <c r="H52" i="7"/>
  <c r="H53" i="7" s="1"/>
  <c r="H12" i="7"/>
  <c r="H13" i="7" s="1"/>
  <c r="H28" i="3"/>
  <c r="H29" i="3" s="1"/>
  <c r="H31" i="4"/>
  <c r="H32" i="4" s="1"/>
  <c r="T25" i="3" l="1"/>
  <c r="T26" i="3" s="1"/>
  <c r="U24" i="3" s="1"/>
  <c r="H35" i="4"/>
  <c r="I28" i="4"/>
  <c r="H32" i="5"/>
  <c r="H16" i="5"/>
  <c r="H17" i="5" s="1"/>
  <c r="H21" i="5"/>
  <c r="H32" i="3"/>
  <c r="H9" i="6" s="1"/>
  <c r="H30" i="6"/>
  <c r="H15" i="7"/>
  <c r="G34" i="5"/>
  <c r="H25" i="7"/>
  <c r="H55" i="7"/>
  <c r="H35" i="7"/>
  <c r="H45" i="7"/>
  <c r="U25" i="3" l="1"/>
  <c r="U26" i="3" s="1"/>
  <c r="V24" i="3" s="1"/>
  <c r="H11" i="6"/>
  <c r="G35" i="5"/>
  <c r="G36" i="5" s="1"/>
  <c r="I29" i="4"/>
  <c r="H36" i="4"/>
  <c r="H28" i="5"/>
  <c r="H30" i="5" s="1"/>
  <c r="V25" i="3" l="1"/>
  <c r="V26" i="3" s="1"/>
  <c r="W24" i="3" s="1"/>
  <c r="H23" i="5"/>
  <c r="H24" i="5" s="1"/>
  <c r="H36" i="7"/>
  <c r="H16" i="7"/>
  <c r="H26" i="7"/>
  <c r="H56" i="7"/>
  <c r="H46" i="7"/>
  <c r="I14" i="5"/>
  <c r="I15" i="5" s="1"/>
  <c r="I12" i="7"/>
  <c r="I13" i="7" s="1"/>
  <c r="I42" i="7"/>
  <c r="I43" i="7" s="1"/>
  <c r="I22" i="7"/>
  <c r="I23" i="7" s="1"/>
  <c r="I32" i="7"/>
  <c r="I33" i="7" s="1"/>
  <c r="I52" i="7"/>
  <c r="I53" i="7" s="1"/>
  <c r="I28" i="3"/>
  <c r="I29" i="3" s="1"/>
  <c r="I31" i="4"/>
  <c r="I32" i="4" s="1"/>
  <c r="W25" i="3" l="1"/>
  <c r="W26" i="3" s="1"/>
  <c r="X24" i="3" s="1"/>
  <c r="I32" i="5"/>
  <c r="I35" i="4"/>
  <c r="J28" i="4"/>
  <c r="H34" i="5"/>
  <c r="I15" i="7"/>
  <c r="I21" i="5"/>
  <c r="I16" i="5"/>
  <c r="I17" i="5" s="1"/>
  <c r="I30" i="6"/>
  <c r="I32" i="3"/>
  <c r="I9" i="6" s="1"/>
  <c r="I55" i="7"/>
  <c r="I35" i="7"/>
  <c r="I25" i="7"/>
  <c r="I45" i="7"/>
  <c r="X25" i="3" l="1"/>
  <c r="X26" i="3" s="1"/>
  <c r="H35" i="5"/>
  <c r="H36" i="5" s="1"/>
  <c r="I28" i="5"/>
  <c r="I30" i="5" s="1"/>
  <c r="I36" i="4"/>
  <c r="J29" i="4"/>
  <c r="I11" i="6"/>
  <c r="J14" i="5" l="1"/>
  <c r="J15" i="5" s="1"/>
  <c r="J42" i="7"/>
  <c r="J43" i="7" s="1"/>
  <c r="J28" i="3"/>
  <c r="J29" i="3" s="1"/>
  <c r="J32" i="7"/>
  <c r="J33" i="7" s="1"/>
  <c r="J12" i="7"/>
  <c r="J13" i="7" s="1"/>
  <c r="J22" i="7"/>
  <c r="J23" i="7" s="1"/>
  <c r="J52" i="7"/>
  <c r="J53" i="7" s="1"/>
  <c r="J31" i="4"/>
  <c r="J32" i="4" s="1"/>
  <c r="I23" i="5"/>
  <c r="I24" i="5" s="1"/>
  <c r="I34" i="5" s="1"/>
  <c r="I16" i="7"/>
  <c r="I56" i="7"/>
  <c r="I36" i="7"/>
  <c r="I26" i="7"/>
  <c r="I46" i="7"/>
  <c r="I35" i="5" l="1"/>
  <c r="I36" i="5" s="1"/>
  <c r="J55" i="7"/>
  <c r="J15" i="7"/>
  <c r="J32" i="5"/>
  <c r="J35" i="4"/>
  <c r="K28" i="4"/>
  <c r="J25" i="7"/>
  <c r="J35" i="7"/>
  <c r="J21" i="5"/>
  <c r="J16" i="5"/>
  <c r="J17" i="5" s="1"/>
  <c r="J30" i="6"/>
  <c r="J32" i="3"/>
  <c r="J9" i="6" s="1"/>
  <c r="J45" i="7"/>
  <c r="J36" i="4" l="1"/>
  <c r="J28" i="5"/>
  <c r="J30" i="5" s="1"/>
  <c r="J11" i="6"/>
  <c r="K29" i="4"/>
  <c r="J23" i="5" l="1"/>
  <c r="J24" i="5" s="1"/>
  <c r="J34" i="5" s="1"/>
  <c r="J46" i="7"/>
  <c r="J36" i="7"/>
  <c r="J56" i="7"/>
  <c r="J16" i="7"/>
  <c r="J26" i="7"/>
  <c r="K14" i="5"/>
  <c r="K15" i="5" s="1"/>
  <c r="K42" i="7"/>
  <c r="K43" i="7" s="1"/>
  <c r="K28" i="3"/>
  <c r="K29" i="3" s="1"/>
  <c r="K12" i="7"/>
  <c r="K13" i="7" s="1"/>
  <c r="K22" i="7"/>
  <c r="K23" i="7" s="1"/>
  <c r="K52" i="7"/>
  <c r="K53" i="7" s="1"/>
  <c r="K32" i="7"/>
  <c r="K33" i="7" s="1"/>
  <c r="K31" i="4"/>
  <c r="K32" i="4" s="1"/>
  <c r="K21" i="5" l="1"/>
  <c r="K16" i="5"/>
  <c r="K30" i="6"/>
  <c r="K32" i="3"/>
  <c r="K9" i="6" s="1"/>
  <c r="K32" i="5"/>
  <c r="K35" i="4"/>
  <c r="L28" i="4"/>
  <c r="K17" i="5"/>
  <c r="K25" i="7"/>
  <c r="K45" i="7"/>
  <c r="K35" i="7"/>
  <c r="J35" i="5"/>
  <c r="J36" i="5" s="1"/>
  <c r="K55" i="7"/>
  <c r="K15" i="7"/>
  <c r="K28" i="5" l="1"/>
  <c r="K30" i="5" s="1"/>
  <c r="K36" i="4"/>
  <c r="K11" i="6"/>
  <c r="L29" i="4"/>
  <c r="K23" i="5" l="1"/>
  <c r="K24" i="5" s="1"/>
  <c r="K34" i="5" s="1"/>
  <c r="K36" i="7"/>
  <c r="K56" i="7"/>
  <c r="K16" i="7"/>
  <c r="K46" i="7"/>
  <c r="K26" i="7"/>
  <c r="L14" i="5"/>
  <c r="L15" i="5" s="1"/>
  <c r="L52" i="7"/>
  <c r="L53" i="7" s="1"/>
  <c r="L22" i="7"/>
  <c r="L23" i="7" s="1"/>
  <c r="L28" i="3"/>
  <c r="L29" i="3" s="1"/>
  <c r="L32" i="7"/>
  <c r="L33" i="7" s="1"/>
  <c r="L42" i="7"/>
  <c r="L43" i="7" s="1"/>
  <c r="L12" i="7"/>
  <c r="L13" i="7" s="1"/>
  <c r="L31" i="4"/>
  <c r="L32" i="4" s="1"/>
  <c r="L55" i="7" l="1"/>
  <c r="L35" i="4"/>
  <c r="M28" i="4"/>
  <c r="L32" i="5"/>
  <c r="L45" i="7"/>
  <c r="K35" i="5"/>
  <c r="K36" i="5" s="1"/>
  <c r="L21" i="5"/>
  <c r="L16" i="5"/>
  <c r="L17" i="5" s="1"/>
  <c r="L30" i="6"/>
  <c r="L32" i="3"/>
  <c r="L9" i="6" s="1"/>
  <c r="L25" i="7"/>
  <c r="L15" i="7"/>
  <c r="L35" i="7"/>
  <c r="L36" i="4" l="1"/>
  <c r="L28" i="5"/>
  <c r="L30" i="5" s="1"/>
  <c r="M29" i="4"/>
  <c r="L11" i="6"/>
  <c r="L23" i="5" l="1"/>
  <c r="L24" i="5" s="1"/>
  <c r="L34" i="5" s="1"/>
  <c r="L56" i="7"/>
  <c r="L26" i="7"/>
  <c r="L46" i="7"/>
  <c r="L36" i="7"/>
  <c r="L16" i="7"/>
  <c r="M14" i="5"/>
  <c r="M15" i="5" s="1"/>
  <c r="M12" i="7"/>
  <c r="M13" i="7" s="1"/>
  <c r="M28" i="3"/>
  <c r="M29" i="3" s="1"/>
  <c r="M52" i="7"/>
  <c r="M53" i="7" s="1"/>
  <c r="M22" i="7"/>
  <c r="M23" i="7" s="1"/>
  <c r="M32" i="7"/>
  <c r="M33" i="7" s="1"/>
  <c r="M42" i="7"/>
  <c r="M43" i="7" s="1"/>
  <c r="M31" i="4"/>
  <c r="M32" i="4" s="1"/>
  <c r="M21" i="5" l="1"/>
  <c r="M16" i="5"/>
  <c r="M17" i="5" s="1"/>
  <c r="M30" i="6"/>
  <c r="M32" i="3"/>
  <c r="M9" i="6" s="1"/>
  <c r="M35" i="7"/>
  <c r="M25" i="7"/>
  <c r="M55" i="7"/>
  <c r="M15" i="7"/>
  <c r="M35" i="4"/>
  <c r="N28" i="4"/>
  <c r="M32" i="5"/>
  <c r="M45" i="7"/>
  <c r="L35" i="5"/>
  <c r="L36" i="5" s="1"/>
  <c r="M11" i="6" l="1"/>
  <c r="N29" i="4"/>
  <c r="M28" i="5"/>
  <c r="M30" i="5" s="1"/>
  <c r="M36" i="4"/>
  <c r="M23" i="5" l="1"/>
  <c r="M24" i="5" s="1"/>
  <c r="M34" i="5" s="1"/>
  <c r="M46" i="7"/>
  <c r="M36" i="7"/>
  <c r="M26" i="7"/>
  <c r="M56" i="7"/>
  <c r="M16" i="7"/>
  <c r="N14" i="5"/>
  <c r="N15" i="5" s="1"/>
  <c r="N28" i="3"/>
  <c r="N29" i="3" s="1"/>
  <c r="N32" i="7"/>
  <c r="N33" i="7" s="1"/>
  <c r="N12" i="7"/>
  <c r="N13" i="7" s="1"/>
  <c r="N52" i="7"/>
  <c r="N53" i="7" s="1"/>
  <c r="N42" i="7"/>
  <c r="N43" i="7" s="1"/>
  <c r="N22" i="7"/>
  <c r="N23" i="7" s="1"/>
  <c r="N31" i="4"/>
  <c r="N32" i="4" s="1"/>
  <c r="N55" i="7" l="1"/>
  <c r="N21" i="5"/>
  <c r="N16" i="5"/>
  <c r="N30" i="6"/>
  <c r="N32" i="3"/>
  <c r="N9" i="6" s="1"/>
  <c r="N15" i="7"/>
  <c r="N35" i="7"/>
  <c r="N17" i="5"/>
  <c r="N35" i="4"/>
  <c r="N32" i="5"/>
  <c r="O28" i="4"/>
  <c r="N25" i="7"/>
  <c r="M35" i="5"/>
  <c r="M36" i="5" s="1"/>
  <c r="N45" i="7"/>
  <c r="N11" i="6" l="1"/>
  <c r="O29" i="4"/>
  <c r="N28" i="5"/>
  <c r="N30" i="5" s="1"/>
  <c r="N36" i="4"/>
  <c r="N23" i="5" l="1"/>
  <c r="N24" i="5" s="1"/>
  <c r="N34" i="5" s="1"/>
  <c r="N56" i="7"/>
  <c r="N16" i="7"/>
  <c r="N36" i="7"/>
  <c r="N26" i="7"/>
  <c r="N46" i="7"/>
  <c r="O14" i="5"/>
  <c r="O15" i="5" s="1"/>
  <c r="O28" i="3"/>
  <c r="O29" i="3" s="1"/>
  <c r="O22" i="7"/>
  <c r="O23" i="7" s="1"/>
  <c r="O42" i="7"/>
  <c r="O43" i="7" s="1"/>
  <c r="O52" i="7"/>
  <c r="O53" i="7" s="1"/>
  <c r="O32" i="7"/>
  <c r="O33" i="7" s="1"/>
  <c r="O12" i="7"/>
  <c r="O13" i="7" s="1"/>
  <c r="O31" i="4"/>
  <c r="O32" i="4" s="1"/>
  <c r="O45" i="7" l="1"/>
  <c r="N35" i="5"/>
  <c r="N36" i="5" s="1"/>
  <c r="O16" i="5"/>
  <c r="O17" i="5" s="1"/>
  <c r="O21" i="5"/>
  <c r="O30" i="6"/>
  <c r="O32" i="3"/>
  <c r="O9" i="6" s="1"/>
  <c r="O15" i="7"/>
  <c r="O55" i="7"/>
  <c r="O25" i="7"/>
  <c r="O32" i="5"/>
  <c r="O35" i="4"/>
  <c r="P28" i="4"/>
  <c r="O35" i="7"/>
  <c r="P29" i="4" l="1"/>
  <c r="O28" i="5"/>
  <c r="O30" i="5" s="1"/>
  <c r="O36" i="4"/>
  <c r="O11" i="6"/>
  <c r="O23" i="5" l="1"/>
  <c r="O24" i="5" s="1"/>
  <c r="O34" i="5" s="1"/>
  <c r="O26" i="7"/>
  <c r="O16" i="7"/>
  <c r="O46" i="7"/>
  <c r="O36" i="7"/>
  <c r="O56" i="7"/>
  <c r="P14" i="5"/>
  <c r="P15" i="5" s="1"/>
  <c r="P52" i="7"/>
  <c r="P53" i="7" s="1"/>
  <c r="P28" i="3"/>
  <c r="P29" i="3" s="1"/>
  <c r="P12" i="7"/>
  <c r="P13" i="7" s="1"/>
  <c r="P42" i="7"/>
  <c r="P43" i="7" s="1"/>
  <c r="P32" i="7"/>
  <c r="P33" i="7" s="1"/>
  <c r="P22" i="7"/>
  <c r="P23" i="7" s="1"/>
  <c r="P31" i="4"/>
  <c r="P32" i="4" s="1"/>
  <c r="P21" i="5" l="1"/>
  <c r="P16" i="5"/>
  <c r="P17" i="5" s="1"/>
  <c r="P32" i="3"/>
  <c r="P9" i="6" s="1"/>
  <c r="P30" i="6"/>
  <c r="P45" i="7"/>
  <c r="P15" i="7"/>
  <c r="P55" i="7"/>
  <c r="P32" i="5"/>
  <c r="P35" i="4"/>
  <c r="Q28" i="4"/>
  <c r="P25" i="7"/>
  <c r="P35" i="7"/>
  <c r="O35" i="5"/>
  <c r="O36" i="5" s="1"/>
  <c r="P28" i="5" l="1"/>
  <c r="P30" i="5" s="1"/>
  <c r="P36" i="4"/>
  <c r="P11" i="6"/>
  <c r="Q29" i="4"/>
  <c r="P23" i="5" l="1"/>
  <c r="P24" i="5" s="1"/>
  <c r="P34" i="5" s="1"/>
  <c r="P56" i="7"/>
  <c r="P26" i="7"/>
  <c r="P46" i="7"/>
  <c r="P36" i="7"/>
  <c r="P16" i="7"/>
  <c r="Q14" i="5"/>
  <c r="Q15" i="5" s="1"/>
  <c r="Q28" i="3"/>
  <c r="Q29" i="3" s="1"/>
  <c r="Q32" i="7"/>
  <c r="Q33" i="7" s="1"/>
  <c r="Q42" i="7"/>
  <c r="Q43" i="7" s="1"/>
  <c r="Q12" i="7"/>
  <c r="Q13" i="7" s="1"/>
  <c r="Q22" i="7"/>
  <c r="Q23" i="7" s="1"/>
  <c r="Q52" i="7"/>
  <c r="Q53" i="7" s="1"/>
  <c r="Q31" i="4"/>
  <c r="Q32" i="4" s="1"/>
  <c r="Q15" i="7" l="1"/>
  <c r="Q25" i="7"/>
  <c r="Q21" i="5"/>
  <c r="Q16" i="5"/>
  <c r="Q17" i="5" s="1"/>
  <c r="Q32" i="3"/>
  <c r="Q9" i="6" s="1"/>
  <c r="Q30" i="6"/>
  <c r="P35" i="5"/>
  <c r="P36" i="5" s="1"/>
  <c r="Q45" i="7"/>
  <c r="Q35" i="7"/>
  <c r="Q32" i="5"/>
  <c r="Q35" i="4"/>
  <c r="R28" i="4"/>
  <c r="Q55" i="7"/>
  <c r="Q11" i="6" l="1"/>
  <c r="R29" i="4"/>
  <c r="Q28" i="5"/>
  <c r="Q30" i="5" s="1"/>
  <c r="Q36" i="4"/>
  <c r="Q23" i="5" l="1"/>
  <c r="Q24" i="5" s="1"/>
  <c r="Q34" i="5" s="1"/>
  <c r="Q16" i="7"/>
  <c r="Q26" i="7"/>
  <c r="Q46" i="7"/>
  <c r="Q56" i="7"/>
  <c r="Q36" i="7"/>
  <c r="R14" i="5"/>
  <c r="R15" i="5" s="1"/>
  <c r="R22" i="7"/>
  <c r="R23" i="7" s="1"/>
  <c r="R52" i="7"/>
  <c r="R53" i="7" s="1"/>
  <c r="R32" i="7"/>
  <c r="R33" i="7" s="1"/>
  <c r="R12" i="7"/>
  <c r="R13" i="7" s="1"/>
  <c r="R42" i="7"/>
  <c r="R43" i="7" s="1"/>
  <c r="R28" i="3"/>
  <c r="R29" i="3" s="1"/>
  <c r="R31" i="4"/>
  <c r="R32" i="4" s="1"/>
  <c r="R45" i="7" l="1"/>
  <c r="D63" i="7" s="1"/>
  <c r="F63" i="7" s="1"/>
  <c r="R35" i="7"/>
  <c r="D62" i="7" s="1"/>
  <c r="F62" i="7" s="1"/>
  <c r="R25" i="7"/>
  <c r="D61" i="7" s="1"/>
  <c r="F61" i="7" s="1"/>
  <c r="R15" i="7"/>
  <c r="D60" i="7" s="1"/>
  <c r="F60" i="7" s="1"/>
  <c r="R55" i="7"/>
  <c r="D64" i="7" s="1"/>
  <c r="F64" i="7" s="1"/>
  <c r="R32" i="5"/>
  <c r="R35" i="4"/>
  <c r="S28" i="4"/>
  <c r="R21" i="5"/>
  <c r="R16" i="5"/>
  <c r="R17" i="5" s="1"/>
  <c r="R32" i="3"/>
  <c r="R9" i="6" s="1"/>
  <c r="R30" i="6"/>
  <c r="Q35" i="5"/>
  <c r="Q36" i="5" s="1"/>
  <c r="R11" i="6" l="1"/>
  <c r="R28" i="5"/>
  <c r="R30" i="5" s="1"/>
  <c r="R36" i="4"/>
  <c r="S29" i="4"/>
  <c r="S31" i="4" l="1"/>
  <c r="S32" i="4" s="1"/>
  <c r="S14" i="5"/>
  <c r="S15" i="5" s="1"/>
  <c r="S22" i="7"/>
  <c r="S23" i="7" s="1"/>
  <c r="S52" i="7"/>
  <c r="S53" i="7" s="1"/>
  <c r="S42" i="7"/>
  <c r="S43" i="7" s="1"/>
  <c r="S28" i="3"/>
  <c r="S29" i="3" s="1"/>
  <c r="S12" i="7"/>
  <c r="S13" i="7" s="1"/>
  <c r="S32" i="7"/>
  <c r="S33" i="7" s="1"/>
  <c r="R23" i="5"/>
  <c r="R24" i="5" s="1"/>
  <c r="R34" i="5" s="1"/>
  <c r="R36" i="7"/>
  <c r="R26" i="7"/>
  <c r="R46" i="7"/>
  <c r="R16" i="7"/>
  <c r="R56" i="7"/>
  <c r="D16" i="6"/>
  <c r="D24" i="8" s="1"/>
  <c r="D15" i="6"/>
  <c r="D23" i="8" s="1"/>
  <c r="R35" i="5" l="1"/>
  <c r="R36" i="5" s="1"/>
  <c r="S16" i="5"/>
  <c r="S17" i="5" s="1"/>
  <c r="S21" i="5"/>
  <c r="S32" i="3"/>
  <c r="S9" i="6" s="1"/>
  <c r="S30" i="6"/>
  <c r="S32" i="5"/>
  <c r="T28" i="4"/>
  <c r="S35" i="4"/>
  <c r="S28" i="5" l="1"/>
  <c r="S30" i="5" s="1"/>
  <c r="S36" i="4"/>
  <c r="T29" i="4"/>
  <c r="T14" i="5" l="1"/>
  <c r="T15" i="5" s="1"/>
  <c r="T31" i="4"/>
  <c r="T32" i="4" s="1"/>
  <c r="T52" i="7"/>
  <c r="T53" i="7" s="1"/>
  <c r="T12" i="7"/>
  <c r="T13" i="7" s="1"/>
  <c r="T42" i="7"/>
  <c r="T43" i="7" s="1"/>
  <c r="T28" i="3"/>
  <c r="T29" i="3" s="1"/>
  <c r="T22" i="7"/>
  <c r="T23" i="7" s="1"/>
  <c r="T32" i="7"/>
  <c r="T33" i="7" s="1"/>
  <c r="S23" i="5"/>
  <c r="S24" i="5" s="1"/>
  <c r="S34" i="5" s="1"/>
  <c r="S16" i="7"/>
  <c r="S26" i="7"/>
  <c r="S46" i="7"/>
  <c r="S56" i="7"/>
  <c r="S36" i="7"/>
  <c r="S35" i="5" l="1"/>
  <c r="S36" i="5" s="1"/>
  <c r="T21" i="5"/>
  <c r="T16" i="5"/>
  <c r="T32" i="3"/>
  <c r="T9" i="6" s="1"/>
  <c r="T30" i="6"/>
  <c r="T35" i="4"/>
  <c r="T32" i="5"/>
  <c r="U28" i="4"/>
  <c r="T17" i="5"/>
  <c r="U29" i="4" l="1"/>
  <c r="T36" i="4"/>
  <c r="T28" i="5"/>
  <c r="T30" i="5" s="1"/>
  <c r="U31" i="4" l="1"/>
  <c r="U32" i="4" s="1"/>
  <c r="U14" i="5"/>
  <c r="U15" i="5" s="1"/>
  <c r="U22" i="7"/>
  <c r="U23" i="7" s="1"/>
  <c r="U32" i="7"/>
  <c r="U33" i="7" s="1"/>
  <c r="U42" i="7"/>
  <c r="U43" i="7" s="1"/>
  <c r="U28" i="3"/>
  <c r="U29" i="3" s="1"/>
  <c r="U12" i="7"/>
  <c r="U13" i="7" s="1"/>
  <c r="U52" i="7"/>
  <c r="U53" i="7" s="1"/>
  <c r="T23" i="5"/>
  <c r="T24" i="5" s="1"/>
  <c r="T34" i="5" s="1"/>
  <c r="T56" i="7"/>
  <c r="T36" i="7"/>
  <c r="T26" i="7"/>
  <c r="T16" i="7"/>
  <c r="T46" i="7"/>
  <c r="U21" i="5" l="1"/>
  <c r="U16" i="5"/>
  <c r="U17" i="5" s="1"/>
  <c r="U30" i="6"/>
  <c r="U32" i="3"/>
  <c r="U9" i="6" s="1"/>
  <c r="U32" i="5"/>
  <c r="V28" i="4"/>
  <c r="U35" i="4"/>
  <c r="T35" i="5"/>
  <c r="T36" i="5" s="1"/>
  <c r="U28" i="5" l="1"/>
  <c r="U30" i="5" s="1"/>
  <c r="U36" i="4"/>
  <c r="V29" i="4"/>
  <c r="V14" i="5" l="1"/>
  <c r="V15" i="5" s="1"/>
  <c r="V31" i="4"/>
  <c r="V32" i="4" s="1"/>
  <c r="V22" i="7"/>
  <c r="V23" i="7" s="1"/>
  <c r="V28" i="3"/>
  <c r="V29" i="3" s="1"/>
  <c r="V52" i="7"/>
  <c r="V53" i="7" s="1"/>
  <c r="V32" i="7"/>
  <c r="V33" i="7" s="1"/>
  <c r="V42" i="7"/>
  <c r="V43" i="7" s="1"/>
  <c r="V12" i="7"/>
  <c r="V13" i="7" s="1"/>
  <c r="U23" i="5"/>
  <c r="U24" i="5" s="1"/>
  <c r="U34" i="5" s="1"/>
  <c r="U56" i="7"/>
  <c r="U26" i="7"/>
  <c r="U16" i="7"/>
  <c r="U46" i="7"/>
  <c r="U36" i="7"/>
  <c r="U35" i="5" l="1"/>
  <c r="U36" i="5" s="1"/>
  <c r="V16" i="5"/>
  <c r="V17" i="5" s="1"/>
  <c r="V21" i="5"/>
  <c r="V32" i="3"/>
  <c r="V9" i="6" s="1"/>
  <c r="V30" i="6"/>
  <c r="V35" i="4"/>
  <c r="V32" i="5"/>
  <c r="W28" i="4"/>
  <c r="V36" i="4" l="1"/>
  <c r="V28" i="5"/>
  <c r="V30" i="5" s="1"/>
  <c r="W29" i="4"/>
  <c r="W14" i="5" l="1"/>
  <c r="W15" i="5" s="1"/>
  <c r="W31" i="4"/>
  <c r="W32" i="4" s="1"/>
  <c r="W28" i="3"/>
  <c r="W29" i="3" s="1"/>
  <c r="W22" i="7"/>
  <c r="W23" i="7" s="1"/>
  <c r="W32" i="7"/>
  <c r="W33" i="7" s="1"/>
  <c r="W52" i="7"/>
  <c r="W53" i="7" s="1"/>
  <c r="W42" i="7"/>
  <c r="W43" i="7" s="1"/>
  <c r="W12" i="7"/>
  <c r="W13" i="7" s="1"/>
  <c r="V23" i="5"/>
  <c r="V24" i="5" s="1"/>
  <c r="V34" i="5" s="1"/>
  <c r="V16" i="7"/>
  <c r="V56" i="7"/>
  <c r="V36" i="7"/>
  <c r="V26" i="7"/>
  <c r="V46" i="7"/>
  <c r="V35" i="5" l="1"/>
  <c r="V36" i="5" s="1"/>
  <c r="W21" i="5"/>
  <c r="W16" i="5"/>
  <c r="W17" i="5" s="1"/>
  <c r="W30" i="6"/>
  <c r="W32" i="3"/>
  <c r="W9" i="6" s="1"/>
  <c r="W35" i="4"/>
  <c r="X28" i="4"/>
  <c r="W32" i="5"/>
  <c r="X36" i="4" l="1"/>
  <c r="X23" i="5" s="1"/>
  <c r="W36" i="4"/>
  <c r="W28" i="5"/>
  <c r="W30" i="5" s="1"/>
  <c r="X29" i="4"/>
  <c r="W23" i="5" l="1"/>
  <c r="W24" i="5" s="1"/>
  <c r="W34" i="5" s="1"/>
  <c r="W56" i="7"/>
  <c r="W46" i="7"/>
  <c r="W26" i="7"/>
  <c r="W16" i="7"/>
  <c r="W36" i="7"/>
  <c r="X14" i="5"/>
  <c r="X15" i="5" s="1"/>
  <c r="X31" i="4"/>
  <c r="X32" i="4" s="1"/>
  <c r="X32" i="5" s="1"/>
  <c r="X28" i="3"/>
  <c r="X29" i="3" s="1"/>
  <c r="X12" i="7"/>
  <c r="X13" i="7" s="1"/>
  <c r="X16" i="7" s="1"/>
  <c r="E60" i="7" s="1"/>
  <c r="X32" i="7"/>
  <c r="X33" i="7" s="1"/>
  <c r="X36" i="7" s="1"/>
  <c r="E62" i="7" s="1"/>
  <c r="X52" i="7"/>
  <c r="X53" i="7" s="1"/>
  <c r="X56" i="7" s="1"/>
  <c r="E64" i="7" s="1"/>
  <c r="X22" i="7"/>
  <c r="X23" i="7" s="1"/>
  <c r="X26" i="7" s="1"/>
  <c r="X42" i="7"/>
  <c r="X43" i="7" s="1"/>
  <c r="X46" i="7" s="1"/>
  <c r="E63" i="7" l="1"/>
  <c r="X21" i="5"/>
  <c r="X24" i="5" s="1"/>
  <c r="X16" i="5"/>
  <c r="X17" i="5" s="1"/>
  <c r="X34" i="5" s="1"/>
  <c r="X35" i="5" s="1"/>
  <c r="X36" i="5" s="1"/>
  <c r="X32" i="3"/>
  <c r="X9" i="6" s="1"/>
  <c r="X30" i="6"/>
  <c r="D19" i="6" s="1"/>
  <c r="D18" i="8" s="1"/>
  <c r="E61" i="7"/>
  <c r="W35" i="5"/>
  <c r="W36" i="5" s="1"/>
  <c r="S12" i="6" l="1"/>
  <c r="U12" i="6"/>
  <c r="V12" i="6"/>
  <c r="T12" i="6"/>
  <c r="W12" i="6"/>
  <c r="X12" i="6"/>
  <c r="E12" i="6"/>
  <c r="D17" i="6" s="1"/>
  <c r="D25" i="8" s="1"/>
  <c r="G12" i="6"/>
  <c r="H12" i="6"/>
  <c r="F12" i="6"/>
  <c r="I12" i="6"/>
  <c r="J12" i="6"/>
  <c r="K12" i="6"/>
  <c r="L12" i="6"/>
  <c r="M12" i="6"/>
  <c r="N12" i="6"/>
  <c r="O12" i="6"/>
  <c r="P12" i="6"/>
  <c r="Q12" i="6"/>
  <c r="R12" i="6"/>
  <c r="D20" i="6"/>
  <c r="D19" i="8" s="1"/>
  <c r="D21" i="6"/>
  <c r="D20" i="8" s="1"/>
</calcChain>
</file>

<file path=xl/sharedStrings.xml><?xml version="1.0" encoding="utf-8"?>
<sst xmlns="http://schemas.openxmlformats.org/spreadsheetml/2006/main" count="551" uniqueCount="261">
  <si>
    <t>CircularEnergies</t>
  </si>
  <si>
    <t>ILLUSTRATIVE PROJECT FINANCE MODEL</t>
  </si>
  <si>
    <t>Kano Agro-Industrial Solar-plus-Storage Project</t>
  </si>
  <si>
    <t>5.0 MWp Solar PV + 4.0 MWh Battery Storage  ·  Commercial &amp; Industrial PPA  ·  Kano State, Nigeria</t>
  </si>
  <si>
    <t>This model has been prepared by CircularEnergies Ltd as an illustrative sample of deliverable standard and methodology. The project, sponsor and offtaker are hypothetical. Assumptions are representative of current Nigerian C&amp;I solar market conditions but do not relate to any actual transaction. No reliance should be placed on the outputs for investment purposes.</t>
  </si>
  <si>
    <t>Model structure</t>
  </si>
  <si>
    <t>Methodology notes</t>
  </si>
  <si>
    <t>Debt is sculpted in proportion to pre-tax operating cash flow, sized so that the present value of the service profile at the cost of debt equals the facility amount. This produces a constant pre-tax DSCR; the post-tax DSCR profile steps down when pioneer relief expires, which the model shows explicitly.</t>
  </si>
  <si>
    <t>Nigerian pioneer status is modelled with capital allowances deferred rather than forfeited during the relief period, with the pool claimed from the first assessable year. This treatment materially affects the post-holiday tax profile and is a common modelling error.</t>
  </si>
  <si>
    <t>ASSUMPTIONS</t>
  </si>
  <si>
    <t>Blue cells are inputs. All other values are calculated.</t>
  </si>
  <si>
    <t>PROJECT IDENTITY</t>
  </si>
  <si>
    <t>Project name</t>
  </si>
  <si>
    <t>Project company (SPV)</t>
  </si>
  <si>
    <t>Sahel Solar Power SPV Ltd (illustrative)</t>
  </si>
  <si>
    <t>Offtaker</t>
  </si>
  <si>
    <t>Northern Grains Processing Ltd (illustrative)</t>
  </si>
  <si>
    <t>Location</t>
  </si>
  <si>
    <t>Kano State, Nigeria</t>
  </si>
  <si>
    <t>Model currency</t>
  </si>
  <si>
    <t>USD</t>
  </si>
  <si>
    <t>TECHNICAL</t>
  </si>
  <si>
    <t>Solar capacity</t>
  </si>
  <si>
    <t>MWp</t>
  </si>
  <si>
    <t>Battery energy capacity</t>
  </si>
  <si>
    <t>MWh</t>
  </si>
  <si>
    <t>Specific yield</t>
  </si>
  <si>
    <t>kWh/kWp/yr</t>
  </si>
  <si>
    <t>Kano site, P50 basis</t>
  </si>
  <si>
    <t>Plant availability</t>
  </si>
  <si>
    <t>%</t>
  </si>
  <si>
    <t>System &amp; storage round-trip losses</t>
  </si>
  <si>
    <t>Annual degradation</t>
  </si>
  <si>
    <t>%/yr</t>
  </si>
  <si>
    <t>Operating life</t>
  </si>
  <si>
    <t>years</t>
  </si>
  <si>
    <t>CAPITAL COST</t>
  </si>
  <si>
    <t>Solar EPC (supply &amp; install)</t>
  </si>
  <si>
    <t>Battery system (supply &amp; install)</t>
  </si>
  <si>
    <t>Grid connection &amp; interconnection</t>
  </si>
  <si>
    <t>Civil works &amp; site preparation</t>
  </si>
  <si>
    <t>Development costs to financial close</t>
  </si>
  <si>
    <t>Owner's costs &amp; project management</t>
  </si>
  <si>
    <t>Contingency</t>
  </si>
  <si>
    <t>% of above</t>
  </si>
  <si>
    <t>Total base capital cost</t>
  </si>
  <si>
    <t>REVENUE &amp; OFFTAKE</t>
  </si>
  <si>
    <t>PPA tariff</t>
  </si>
  <si>
    <t>USD/MWh</t>
  </si>
  <si>
    <t>vs displaced diesel c. USD 380/MWh</t>
  </si>
  <si>
    <t>Tariff escalation</t>
  </si>
  <si>
    <t>USD-indexed</t>
  </si>
  <si>
    <t>Contracted annual volume</t>
  </si>
  <si>
    <t>Offtaker load exceeds plant output</t>
  </si>
  <si>
    <t>Take-or-pay minimum</t>
  </si>
  <si>
    <t>% of contract</t>
  </si>
  <si>
    <t>Contract tenor</t>
  </si>
  <si>
    <t>OPERATING COSTS</t>
  </si>
  <si>
    <t>O&amp;M contract</t>
  </si>
  <si>
    <t>% of plant EPC</t>
  </si>
  <si>
    <t>O&amp;M cost</t>
  </si>
  <si>
    <t>USD/yr</t>
  </si>
  <si>
    <t>Insurance</t>
  </si>
  <si>
    <t>% of capex</t>
  </si>
  <si>
    <t>Insurance cost</t>
  </si>
  <si>
    <t>Land lease</t>
  </si>
  <si>
    <t>Security &amp; site services</t>
  </si>
  <si>
    <t>Administration, audit &amp; SPV costs</t>
  </si>
  <si>
    <t>Asset management fee</t>
  </si>
  <si>
    <t>Total operating cost (year 1)</t>
  </si>
  <si>
    <t>Operating cost escalation</t>
  </si>
  <si>
    <t>Blended NGN/USD basis</t>
  </si>
  <si>
    <t>FINANCING</t>
  </si>
  <si>
    <t>Gearing (senior debt)</t>
  </si>
  <si>
    <t>% of base capex</t>
  </si>
  <si>
    <t>Interest rate</t>
  </si>
  <si>
    <t>USD senior facility, all-in</t>
  </si>
  <si>
    <t>Debt tenor</t>
  </si>
  <si>
    <t>DSCR covenant (minimum)</t>
  </si>
  <si>
    <t>x</t>
  </si>
  <si>
    <t>Arrangement &amp; upfront fees</t>
  </si>
  <si>
    <t>% of debt</t>
  </si>
  <si>
    <t>Debt service reserve</t>
  </si>
  <si>
    <t>months</t>
  </si>
  <si>
    <t>Construction period</t>
  </si>
  <si>
    <t>Minimum operating cash balance</t>
  </si>
  <si>
    <t>TAXATION</t>
  </si>
  <si>
    <t>Companies income tax</t>
  </si>
  <si>
    <t>Tertiary education tax</t>
  </si>
  <si>
    <t>Pioneer status relief period</t>
  </si>
  <si>
    <t>Assumed granted</t>
  </si>
  <si>
    <t>Capital allowance — initial</t>
  </si>
  <si>
    <t>Plant &amp; machinery</t>
  </si>
  <si>
    <t>Capital allowance — annual</t>
  </si>
  <si>
    <t>Accounting depreciation life</t>
  </si>
  <si>
    <t>RETURN REQUIREMENTS</t>
  </si>
  <si>
    <t>Project discount rate (WACC)</t>
  </si>
  <si>
    <t>Equity hurdle rate</t>
  </si>
  <si>
    <t>OPERATING MODEL</t>
  </si>
  <si>
    <t>Generation, revenue, operating costs, capital allowances and tax</t>
  </si>
  <si>
    <t>Period</t>
  </si>
  <si>
    <t>Construction</t>
  </si>
  <si>
    <t>Yr 1</t>
  </si>
  <si>
    <t>Yr 2</t>
  </si>
  <si>
    <t>Yr 3</t>
  </si>
  <si>
    <t>Yr 4</t>
  </si>
  <si>
    <t>Yr 5</t>
  </si>
  <si>
    <t>Yr 6</t>
  </si>
  <si>
    <t>Yr 7</t>
  </si>
  <si>
    <t>Yr 8</t>
  </si>
  <si>
    <t>Yr 9</t>
  </si>
  <si>
    <t>Yr 10</t>
  </si>
  <si>
    <t>Yr 11</t>
  </si>
  <si>
    <t>Yr 12</t>
  </si>
  <si>
    <t>Yr 13</t>
  </si>
  <si>
    <t>Yr 14</t>
  </si>
  <si>
    <t>Yr 15</t>
  </si>
  <si>
    <t>Yr 16</t>
  </si>
  <si>
    <t>Yr 17</t>
  </si>
  <si>
    <t>Yr 18</t>
  </si>
  <si>
    <t>Yr 19</t>
  </si>
  <si>
    <t>Yr 20</t>
  </si>
  <si>
    <t>GENERATION</t>
  </si>
  <si>
    <t>Gross generation</t>
  </si>
  <si>
    <t>Net delivered energy</t>
  </si>
  <si>
    <t>Billable volume</t>
  </si>
  <si>
    <t>REVENUE</t>
  </si>
  <si>
    <t>Tariff</t>
  </si>
  <si>
    <t>Contract revenue</t>
  </si>
  <si>
    <t>Total operating costs</t>
  </si>
  <si>
    <t>EBITDA</t>
  </si>
  <si>
    <t>EBITDA margin</t>
  </si>
  <si>
    <t>CAPITAL ALLOWANCES &amp; TAXATION</t>
  </si>
  <si>
    <t>Qualifying capital expenditure</t>
  </si>
  <si>
    <t>Capital allowance claimed</t>
  </si>
  <si>
    <t>Pioneer relief in force</t>
  </si>
  <si>
    <t>1 = yes</t>
  </si>
  <si>
    <t>Assessable profit</t>
  </si>
  <si>
    <t>Taxation</t>
  </si>
  <si>
    <t>CASH FLOW AVAILABLE FOR DEBT SERVICE</t>
  </si>
  <si>
    <t>CFADS (post-tax)</t>
  </si>
  <si>
    <t>FUNDING &amp; DEBT</t>
  </si>
  <si>
    <t>Sources and uses, debt sizing, sculpted repayment and reserve account</t>
  </si>
  <si>
    <t>Base capital cost</t>
  </si>
  <si>
    <t>Interest during construction</t>
  </si>
  <si>
    <t>Debt service reserve account</t>
  </si>
  <si>
    <t>Minimum cash balance</t>
  </si>
  <si>
    <t>Total funding requirement</t>
  </si>
  <si>
    <t>Senior debt</t>
  </si>
  <si>
    <t>Sponsor equity</t>
  </si>
  <si>
    <t>Total sources</t>
  </si>
  <si>
    <t>Effective gearing (of total funding)</t>
  </si>
  <si>
    <t>DEBT SIZING — SCULPTED TO OPERATING CASH FLOW</t>
  </si>
  <si>
    <t>Sculpting basis (EBITDA)</t>
  </si>
  <si>
    <t>Discount factor at cost of debt</t>
  </si>
  <si>
    <t>PV of sculpting basis</t>
  </si>
  <si>
    <t>Total PV of sculpting basis</t>
  </si>
  <si>
    <t>Sculpting factor (debt / PV basis)</t>
  </si>
  <si>
    <t>SENIOR DEBT SCHEDULE</t>
  </si>
  <si>
    <t>Opening balance</t>
  </si>
  <si>
    <t>Interest</t>
  </si>
  <si>
    <t>Total debt service</t>
  </si>
  <si>
    <t>Principal repayment</t>
  </si>
  <si>
    <t>Closing balance</t>
  </si>
  <si>
    <t>DEBT SERVICE RESERVE ACCOUNT</t>
  </si>
  <si>
    <t>DSRA balance</t>
  </si>
  <si>
    <t>Movement in DSRA</t>
  </si>
  <si>
    <t>FINANCIAL STATEMENTS</t>
  </si>
  <si>
    <t>Income statement, cash flow statement and balance sheet</t>
  </si>
  <si>
    <t>INCOME STATEMENT</t>
  </si>
  <si>
    <t>Revenue</t>
  </si>
  <si>
    <t>Operating costs</t>
  </si>
  <si>
    <t>Depreciation</t>
  </si>
  <si>
    <t>EBIT</t>
  </si>
  <si>
    <t>Interest expense</t>
  </si>
  <si>
    <t>Profit before tax</t>
  </si>
  <si>
    <t>Net income</t>
  </si>
  <si>
    <t>CASH FLOW STATEMENT</t>
  </si>
  <si>
    <t>Taxation paid</t>
  </si>
  <si>
    <t>Debt service</t>
  </si>
  <si>
    <t>Free cash flow to equity</t>
  </si>
  <si>
    <t>BALANCE SHEET</t>
  </si>
  <si>
    <t>Net fixed assets</t>
  </si>
  <si>
    <t>Cash</t>
  </si>
  <si>
    <t>Total assets</t>
  </si>
  <si>
    <t>Share capital</t>
  </si>
  <si>
    <t>Retained earnings</t>
  </si>
  <si>
    <t>Total liabilities &amp; equity</t>
  </si>
  <si>
    <t>Balance check</t>
  </si>
  <si>
    <t>RETURNS &amp; COVERAGE</t>
  </si>
  <si>
    <t>NPV, IRR, DSCR, LLCR and payback</t>
  </si>
  <si>
    <t>COVERAGE RATIOS</t>
  </si>
  <si>
    <t>CFADS</t>
  </si>
  <si>
    <t>DSCR</t>
  </si>
  <si>
    <t>LLCR</t>
  </si>
  <si>
    <t>HEADLINE METRICS</t>
  </si>
  <si>
    <t>Minimum DSCR</t>
  </si>
  <si>
    <t>Covenant 1.30x</t>
  </si>
  <si>
    <t>Average DSCR</t>
  </si>
  <si>
    <t>LLCR at financial close</t>
  </si>
  <si>
    <t>Project IRR (pre-financing)</t>
  </si>
  <si>
    <t>Post-tax, pre-financing</t>
  </si>
  <si>
    <t>Equity IRR</t>
  </si>
  <si>
    <t>Post-tax, post-debt</t>
  </si>
  <si>
    <t>Equity NPV at hurdle rate</t>
  </si>
  <si>
    <t>Total project cost</t>
  </si>
  <si>
    <t>Capital cost per Wp</t>
  </si>
  <si>
    <t>Installed, incl. storage</t>
  </si>
  <si>
    <t>PROJECT CASH FLOW (PRE-FINANCING)</t>
  </si>
  <si>
    <t>Project free cash flow</t>
  </si>
  <si>
    <t>SENSITIVITY ANALYSIS</t>
  </si>
  <si>
    <t>Downside cases against the debt service profile fixed at financial close</t>
  </si>
  <si>
    <t>BASE CASE</t>
  </si>
  <si>
    <t>TARIFF -10%</t>
  </si>
  <si>
    <t>GENERATION P90 (-7%)</t>
  </si>
  <si>
    <t>OPEX +20%</t>
  </si>
  <si>
    <t>COMBINED DOWNSIDE</t>
  </si>
  <si>
    <t>SUMMARY</t>
  </si>
  <si>
    <t>Scenario</t>
  </si>
  <si>
    <t>Min DSCR</t>
  </si>
  <si>
    <t>Assessment</t>
  </si>
  <si>
    <t>Base case</t>
  </si>
  <si>
    <t>Tariff -10%</t>
  </si>
  <si>
    <t>Generation P90 (-7%)</t>
  </si>
  <si>
    <t>Opex +20%</t>
  </si>
  <si>
    <t>Combined downside</t>
  </si>
  <si>
    <t>SUMMARY DASHBOARD</t>
  </si>
  <si>
    <t>PROJECT</t>
  </si>
  <si>
    <t>Project</t>
  </si>
  <si>
    <t>Kano Agro-Industrial Solar-plus-Storage</t>
  </si>
  <si>
    <t>Configuration</t>
  </si>
  <si>
    <t>5.0 MWp solar PV + 4.0 MWh battery storage</t>
  </si>
  <si>
    <t>Structure</t>
  </si>
  <si>
    <t>15-year C&amp;I PPA, take-or-pay, USD-indexed</t>
  </si>
  <si>
    <t>CAPITAL STRUCTURE</t>
  </si>
  <si>
    <t>Effective gearing</t>
  </si>
  <si>
    <t>RETURNS</t>
  </si>
  <si>
    <t>Project IRR (post-tax)</t>
  </si>
  <si>
    <t>Hurdle 18.0%</t>
  </si>
  <si>
    <t>Equity NPV at hurdle</t>
  </si>
  <si>
    <t>DEBT METRICS</t>
  </si>
  <si>
    <t>LLCR at close</t>
  </si>
  <si>
    <t>OPERATING METRICS</t>
  </si>
  <si>
    <t>Year 1 revenue</t>
  </si>
  <si>
    <t>Year 1 EBITDA</t>
  </si>
  <si>
    <t>Year 1 EBITDA margin</t>
  </si>
  <si>
    <t>Installed cost per Wp</t>
  </si>
  <si>
    <t>Illustrative sample prepared by CircularEnergies Ltd. Hypothetical project and counterparties. Not a live engagement and not for reliance.</t>
  </si>
  <si>
    <t>Headline outputs - illustrative sample</t>
  </si>
  <si>
    <t>Capital allowance pool - opening</t>
  </si>
  <si>
    <t>Capital allowance pool - closing</t>
  </si>
  <si>
    <t>SAMPLE DELIVERABLE - NOT A LIVE CLIENT ENGAGEMENT</t>
  </si>
  <si>
    <t>ENERGY TRANSITION FEASIBILITY &amp; INTELLIGENCE</t>
  </si>
  <si>
    <t>Assumptions   -   All model inputs. Blue cells are hardcoded inputs; nothing else requires editing.</t>
  </si>
  <si>
    <t>Model         -   Generation, revenue, operating costs, capital allowances and taxation.</t>
  </si>
  <si>
    <t>Debt          -   Funding sources, debt sizing, sculpted repayment profile and reserve account.</t>
  </si>
  <si>
    <t>Financials    -   Income statement, cash flow statement and balance sheet.</t>
  </si>
  <si>
    <t>Returns       -  NPV, project and equity IRR, DSCR, LLCR and payback.</t>
  </si>
  <si>
    <t>Sensitivities -   Downside scenarios against the debt service profile fixed at financial close.</t>
  </si>
  <si>
    <t>Dashboard     -  Summary of headline outputs.</t>
  </si>
  <si>
    <t>Prepared by Zayyad Yusuf Aliyu, Founder &amp; Principal Analyst   ·   info@circularenergies.africa   ·   +234 815 824 2934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</si>
</sst>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quot;  MWp&quot;"/>
    <numFmt numFmtId="165" formatCode="0.0&quot;  MWh&quot;"/>
    <numFmt numFmtId="166" formatCode="#,##0;\(#,##0\);\-"/>
    <numFmt numFmtId="167" formatCode="0.0%"/>
    <numFmt numFmtId="168" formatCode="\$#,##0;&quot;($&quot;#,##0\);\-"/>
    <numFmt numFmtId="169" formatCode="\$#,##0.00;&quot;($&quot;#,##0.00\);\-"/>
    <numFmt numFmtId="170" formatCode="0.00\x"/>
    <numFmt numFmtId="171" formatCode="0.0000"/>
    <numFmt numFmtId="172" formatCode="\$0.00"/>
  </numFmts>
  <fonts count="23" x14ac:knownFonts="1">
    <font>
      <sz val="11"/>
      <color theme="1"/>
      <name val="Calibri"/>
      <family val="2"/>
      <charset val="1"/>
    </font>
    <font>
      <b/>
      <sz val="24"/>
      <color rgb="FF1E4D3A"/>
      <name val="Arial"/>
      <charset val="1"/>
    </font>
    <font>
      <sz val="9"/>
      <color rgb="FF5F5C52"/>
      <name val="Arial"/>
      <charset val="1"/>
    </font>
    <font>
      <b/>
      <sz val="17"/>
      <color rgb="FF1E4D3A"/>
      <name val="Arial"/>
      <charset val="1"/>
    </font>
    <font>
      <b/>
      <sz val="13"/>
      <color rgb="FF2B2B26"/>
      <name val="Arial"/>
      <charset val="1"/>
    </font>
    <font>
      <b/>
      <sz val="10"/>
      <color rgb="FFFFFFFF"/>
      <name val="Arial"/>
      <charset val="1"/>
    </font>
    <font>
      <sz val="9"/>
      <color rgb="FF2B2B26"/>
      <name val="Arial"/>
      <charset val="1"/>
    </font>
    <font>
      <b/>
      <sz val="10"/>
      <color rgb="FF1E4D3A"/>
      <name val="Arial"/>
      <charset val="1"/>
    </font>
    <font>
      <b/>
      <sz val="9"/>
      <color rgb="FFB8892B"/>
      <name val="Arial"/>
      <charset val="1"/>
    </font>
    <font>
      <b/>
      <sz val="15"/>
      <color rgb="FF1E4D3A"/>
      <name val="Arial"/>
      <charset val="1"/>
    </font>
    <font>
      <b/>
      <sz val="11"/>
      <color rgb="FFB8892B"/>
      <name val="Arial"/>
      <charset val="1"/>
    </font>
    <font>
      <i/>
      <sz val="8"/>
      <color rgb="FF5F5C52"/>
      <name val="Arial"/>
      <charset val="1"/>
    </font>
    <font>
      <b/>
      <sz val="9"/>
      <color rgb="FFFFFFFF"/>
      <name val="Arial"/>
      <charset val="1"/>
    </font>
    <font>
      <sz val="8"/>
      <color rgb="FF5F5C52"/>
      <name val="Arial"/>
      <charset val="1"/>
    </font>
    <font>
      <sz val="9"/>
      <color rgb="FF0000FF"/>
      <name val="Arial"/>
      <charset val="1"/>
    </font>
    <font>
      <b/>
      <sz val="9"/>
      <color rgb="FF000000"/>
      <name val="Arial"/>
      <charset val="1"/>
    </font>
    <font>
      <b/>
      <sz val="9"/>
      <color rgb="FF1E4D3A"/>
      <name val="Arial"/>
      <charset val="1"/>
    </font>
    <font>
      <b/>
      <sz val="8"/>
      <color rgb="FFFFFFFF"/>
      <name val="Arial"/>
      <charset val="1"/>
    </font>
    <font>
      <sz val="9"/>
      <color rgb="FF000000"/>
      <name val="Arial"/>
      <charset val="1"/>
    </font>
    <font>
      <b/>
      <sz val="9"/>
      <color rgb="FF2B2B26"/>
      <name val="Arial"/>
      <charset val="1"/>
    </font>
    <font>
      <sz val="9"/>
      <color rgb="FF008000"/>
      <name val="Arial"/>
      <charset val="1"/>
    </font>
    <font>
      <sz val="9"/>
      <name val="Arial"/>
      <charset val="1"/>
    </font>
    <font>
      <i/>
      <sz val="8"/>
      <color rgb="FFB8892B"/>
      <name val="Arial"/>
      <charset val="1"/>
    </font>
  </fonts>
  <fills count="7">
    <fill>
      <patternFill patternType="none"/>
    </fill>
    <fill>
      <patternFill patternType="gray125"/>
    </fill>
    <fill>
      <patternFill patternType="solid">
        <fgColor rgb="FFB8892B"/>
        <bgColor rgb="FF969696"/>
      </patternFill>
    </fill>
    <fill>
      <patternFill patternType="solid">
        <fgColor rgb="FF1E4D3A"/>
        <bgColor rgb="FF2B2B26"/>
      </patternFill>
    </fill>
    <fill>
      <patternFill patternType="solid">
        <fgColor rgb="FFFFFFCC"/>
        <bgColor rgb="FFF3ECDA"/>
      </patternFill>
    </fill>
    <fill>
      <patternFill patternType="solid">
        <fgColor rgb="FF5F5C52"/>
        <bgColor rgb="FF808080"/>
      </patternFill>
    </fill>
    <fill>
      <patternFill patternType="solid">
        <fgColor rgb="FFF3ECDA"/>
        <bgColor rgb="FFFFFFCC"/>
      </patternFill>
    </fill>
  </fills>
  <borders count="2">
    <border>
      <left/>
      <right/>
      <top/>
      <bottom/>
      <diagonal/>
    </border>
    <border>
      <left style="thin">
        <color rgb="FFD8CDB4"/>
      </left>
      <right style="thin">
        <color rgb="FFD8CDB4"/>
      </right>
      <top style="thin">
        <color rgb="FFD8CDB4"/>
      </top>
      <bottom style="thin">
        <color rgb="FFD8CDB4"/>
      </bottom>
      <diagonal/>
    </border>
  </borders>
  <cellStyleXfs count="1">
    <xf numFmtId="0" fontId="0" fillId="0" borderId="0"/>
  </cellStyleXfs>
  <cellXfs count="56">
    <xf numFmtId="0" fontId="0" fillId="0" borderId="0" xfId="0"/>
    <xf numFmtId="0" fontId="1" fillId="0" borderId="0" xfId="0" applyFont="1"/>
    <xf numFmtId="0" fontId="2" fillId="0" borderId="0" xfId="0" applyFont="1"/>
    <xf numFmtId="0" fontId="0" fillId="0" borderId="0" xfId="0"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2" fillId="0" borderId="0" xfId="0" applyFont="1" applyAlignment="1">
      <alignment vertical="top" wrapText="1"/>
    </xf>
    <xf numFmtId="0" fontId="5" fillId="2" borderId="0" xfId="0" applyFont="1" applyFill="1" applyAlignment="1">
      <alignment vertical="top" wrapText="1" indent="1"/>
    </xf>
    <xf numFmtId="0" fontId="6" fillId="0" borderId="0" xfId="0" applyFont="1" applyAlignment="1">
      <alignment vertical="top" wrapText="1"/>
    </xf>
    <xf numFmtId="0" fontId="7" fillId="0" borderId="0" xfId="0" applyFont="1" applyAlignment="1">
      <alignment vertical="top" wrapText="1"/>
    </xf>
    <xf numFmtId="0" fontId="8" fillId="0" borderId="0" xfId="0" applyFont="1" applyAlignment="1">
      <alignment vertical="top" wrapText="1"/>
    </xf>
    <xf numFmtId="0" fontId="9" fillId="0" borderId="0" xfId="0" applyFont="1"/>
    <xf numFmtId="0" fontId="10" fillId="0" borderId="0" xfId="0" applyFont="1"/>
    <xf numFmtId="0" fontId="11" fillId="0" borderId="0" xfId="0" applyFont="1"/>
    <xf numFmtId="0" fontId="12" fillId="3" borderId="0" xfId="0" applyFont="1" applyFill="1" applyAlignment="1">
      <alignment vertical="center" indent="1"/>
    </xf>
    <xf numFmtId="0" fontId="0" fillId="3" borderId="0" xfId="0" applyFill="1"/>
    <xf numFmtId="0" fontId="6" fillId="0" borderId="0" xfId="0" applyFont="1" applyAlignment="1">
      <alignment vertical="center" indent="1"/>
    </xf>
    <xf numFmtId="0" fontId="13" fillId="0" borderId="0" xfId="0" applyFont="1" applyAlignment="1">
      <alignment horizontal="center" vertical="center"/>
    </xf>
    <xf numFmtId="0" fontId="14" fillId="4" borderId="1" xfId="0" applyFont="1" applyFill="1" applyBorder="1" applyAlignment="1">
      <alignment vertical="center" indent="1"/>
    </xf>
    <xf numFmtId="164" fontId="14" fillId="4" borderId="1" xfId="0" applyNumberFormat="1" applyFont="1" applyFill="1" applyBorder="1" applyAlignment="1">
      <alignment horizontal="right" vertical="center"/>
    </xf>
    <xf numFmtId="0" fontId="13" fillId="0" borderId="0" xfId="0" applyFont="1" applyAlignment="1">
      <alignment vertical="center" indent="1"/>
    </xf>
    <xf numFmtId="165" fontId="14" fillId="4" borderId="1" xfId="0" applyNumberFormat="1" applyFont="1" applyFill="1" applyBorder="1" applyAlignment="1">
      <alignment horizontal="right" vertical="center"/>
    </xf>
    <xf numFmtId="166" fontId="14" fillId="4" borderId="1" xfId="0" applyNumberFormat="1" applyFont="1" applyFill="1" applyBorder="1" applyAlignment="1">
      <alignment horizontal="right" vertical="center"/>
    </xf>
    <xf numFmtId="167" fontId="14" fillId="4" borderId="1" xfId="0" applyNumberFormat="1" applyFont="1" applyFill="1" applyBorder="1" applyAlignment="1">
      <alignment horizontal="right" vertical="center"/>
    </xf>
    <xf numFmtId="1" fontId="14" fillId="4" borderId="1" xfId="0" applyNumberFormat="1" applyFont="1" applyFill="1" applyBorder="1" applyAlignment="1">
      <alignment horizontal="right" vertical="center"/>
    </xf>
    <xf numFmtId="168" fontId="14" fillId="4" borderId="1" xfId="0" applyNumberFormat="1" applyFont="1" applyFill="1" applyBorder="1" applyAlignment="1">
      <alignment horizontal="right" vertical="center"/>
    </xf>
    <xf numFmtId="168" fontId="15" fillId="0" borderId="1" xfId="0" applyNumberFormat="1" applyFont="1" applyBorder="1" applyAlignment="1">
      <alignment horizontal="right" vertical="center"/>
    </xf>
    <xf numFmtId="169" fontId="14" fillId="4" borderId="1" xfId="0" applyNumberFormat="1" applyFont="1" applyFill="1" applyBorder="1" applyAlignment="1">
      <alignment horizontal="right" vertical="center"/>
    </xf>
    <xf numFmtId="170" fontId="14" fillId="4" borderId="1" xfId="0" applyNumberFormat="1" applyFont="1" applyFill="1" applyBorder="1" applyAlignment="1">
      <alignment horizontal="right" vertical="center"/>
    </xf>
    <xf numFmtId="0" fontId="16" fillId="0" borderId="0" xfId="0" applyFont="1"/>
    <xf numFmtId="0" fontId="17" fillId="5" borderId="0" xfId="0" applyFont="1" applyFill="1" applyAlignment="1">
      <alignment horizontal="center"/>
    </xf>
    <xf numFmtId="0" fontId="17" fillId="3" borderId="0" xfId="0" applyFont="1" applyFill="1" applyAlignment="1">
      <alignment horizontal="center"/>
    </xf>
    <xf numFmtId="166" fontId="18" fillId="0" borderId="0" xfId="0" applyNumberFormat="1" applyFont="1" applyAlignment="1">
      <alignment horizontal="right" vertical="center"/>
    </xf>
    <xf numFmtId="0" fontId="19" fillId="0" borderId="0" xfId="0" applyFont="1" applyAlignment="1">
      <alignment vertical="center" indent="1"/>
    </xf>
    <xf numFmtId="166" fontId="15" fillId="0" borderId="0" xfId="0" applyNumberFormat="1" applyFont="1" applyAlignment="1">
      <alignment horizontal="right" vertical="center"/>
    </xf>
    <xf numFmtId="169" fontId="18" fillId="0" borderId="0" xfId="0" applyNumberFormat="1" applyFont="1" applyAlignment="1">
      <alignment horizontal="right" vertical="center"/>
    </xf>
    <xf numFmtId="168" fontId="15" fillId="0" borderId="0" xfId="0" applyNumberFormat="1" applyFont="1" applyAlignment="1">
      <alignment horizontal="right" vertical="center"/>
    </xf>
    <xf numFmtId="168" fontId="18" fillId="0" borderId="0" xfId="0" applyNumberFormat="1" applyFont="1" applyAlignment="1">
      <alignment horizontal="right" vertical="center"/>
    </xf>
    <xf numFmtId="167" fontId="18" fillId="0" borderId="0" xfId="0" applyNumberFormat="1" applyFont="1" applyAlignment="1">
      <alignment horizontal="right" vertical="center"/>
    </xf>
    <xf numFmtId="1" fontId="18" fillId="0" borderId="0" xfId="0" applyNumberFormat="1" applyFont="1" applyAlignment="1">
      <alignment horizontal="right" vertical="center"/>
    </xf>
    <xf numFmtId="0" fontId="16" fillId="3" borderId="0" xfId="0" applyFont="1" applyFill="1" applyAlignment="1">
      <alignment vertical="center" indent="1"/>
    </xf>
    <xf numFmtId="168" fontId="18" fillId="0" borderId="1" xfId="0" applyNumberFormat="1" applyFont="1" applyBorder="1" applyAlignment="1">
      <alignment horizontal="right" vertical="center"/>
    </xf>
    <xf numFmtId="167" fontId="18" fillId="0" borderId="1" xfId="0" applyNumberFormat="1" applyFont="1" applyBorder="1" applyAlignment="1">
      <alignment horizontal="right" vertical="center"/>
    </xf>
    <xf numFmtId="171" fontId="18" fillId="0" borderId="0" xfId="0" applyNumberFormat="1" applyFont="1" applyAlignment="1">
      <alignment horizontal="right" vertical="center"/>
    </xf>
    <xf numFmtId="171" fontId="18" fillId="0" borderId="1" xfId="0" applyNumberFormat="1" applyFont="1" applyBorder="1" applyAlignment="1">
      <alignment horizontal="right" vertical="center"/>
    </xf>
    <xf numFmtId="168" fontId="20" fillId="0" borderId="0" xfId="0" applyNumberFormat="1" applyFont="1" applyAlignment="1">
      <alignment horizontal="right" vertical="center"/>
    </xf>
    <xf numFmtId="170" fontId="15" fillId="0" borderId="0" xfId="0" applyNumberFormat="1" applyFont="1" applyAlignment="1">
      <alignment horizontal="right" vertical="center"/>
    </xf>
    <xf numFmtId="170" fontId="18" fillId="0" borderId="0" xfId="0" applyNumberFormat="1" applyFont="1" applyAlignment="1">
      <alignment horizontal="right" vertical="center"/>
    </xf>
    <xf numFmtId="170" fontId="15" fillId="0" borderId="1" xfId="0" applyNumberFormat="1" applyFont="1" applyBorder="1" applyAlignment="1">
      <alignment horizontal="right" vertical="center"/>
    </xf>
    <xf numFmtId="0" fontId="13" fillId="0" borderId="0" xfId="0" applyFont="1" applyAlignment="1">
      <alignment indent="1"/>
    </xf>
    <xf numFmtId="167" fontId="15" fillId="0" borderId="1" xfId="0" applyNumberFormat="1" applyFont="1" applyBorder="1" applyAlignment="1">
      <alignment horizontal="right" vertical="center"/>
    </xf>
    <xf numFmtId="172" fontId="15" fillId="0" borderId="1" xfId="0" applyNumberFormat="1" applyFont="1" applyBorder="1" applyAlignment="1">
      <alignment horizontal="right" vertical="center"/>
    </xf>
    <xf numFmtId="0" fontId="16" fillId="6" borderId="1" xfId="0" applyFont="1" applyFill="1" applyBorder="1" applyAlignment="1">
      <alignment vertical="center" indent="1"/>
    </xf>
    <xf numFmtId="0" fontId="21" fillId="0" borderId="1" xfId="0" applyFont="1" applyBorder="1" applyAlignment="1">
      <alignment vertical="center" indent="1"/>
    </xf>
    <xf numFmtId="0" fontId="21" fillId="0" borderId="0" xfId="0" applyFont="1" applyAlignment="1">
      <alignment vertical="center" indent="1"/>
    </xf>
    <xf numFmtId="0" fontId="22"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B8892B"/>
      <rgbColor rgb="FF800080"/>
      <rgbColor rgb="FF008080"/>
      <rgbColor rgb="FFD8CDB4"/>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F3ECDA"/>
      <rgbColor rgb="FFFFFF99"/>
      <rgbColor rgb="FF99CCFF"/>
      <rgbColor rgb="FFFF99CC"/>
      <rgbColor rgb="FFCC99FF"/>
      <rgbColor rgb="FFFFCC99"/>
      <rgbColor rgb="FF3366FF"/>
      <rgbColor rgb="FF33CCCC"/>
      <rgbColor rgb="FF99CC00"/>
      <rgbColor rgb="FFFFCC00"/>
      <rgbColor rgb="FFFF9900"/>
      <rgbColor rgb="FFFF6600"/>
      <rgbColor rgb="FF5F5C52"/>
      <rgbColor rgb="FF969696"/>
      <rgbColor rgb="FF1E4D3A"/>
      <rgbColor rgb="FF339966"/>
      <rgbColor rgb="FF003300"/>
      <rgbColor rgb="FF333300"/>
      <rgbColor rgb="FF993300"/>
      <rgbColor rgb="FF993366"/>
      <rgbColor rgb="FF333399"/>
      <rgbColor rgb="FF2B2B2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26"/>
  <sheetViews>
    <sheetView showGridLines="0" tabSelected="1" zoomScaleNormal="100" workbookViewId="0">
      <selection activeCell="D11" sqref="D11"/>
    </sheetView>
  </sheetViews>
  <sheetFormatPr defaultColWidth="8.7109375" defaultRowHeight="15" x14ac:dyDescent="0.25"/>
  <cols>
    <col min="1" max="1" width="3" customWidth="1"/>
    <col min="2" max="2" width="95" customWidth="1"/>
  </cols>
  <sheetData>
    <row r="2" spans="2:2" ht="30" x14ac:dyDescent="0.4">
      <c r="B2" s="1" t="s">
        <v>0</v>
      </c>
    </row>
    <row r="3" spans="2:2" x14ac:dyDescent="0.25">
      <c r="B3" s="2" t="s">
        <v>252</v>
      </c>
    </row>
    <row r="5" spans="2:2" ht="7.5" customHeight="1" x14ac:dyDescent="0.25">
      <c r="B5" s="3"/>
    </row>
    <row r="6" spans="2:2" ht="25.5" customHeight="1" x14ac:dyDescent="0.25">
      <c r="B6" s="4" t="s">
        <v>1</v>
      </c>
    </row>
    <row r="7" spans="2:2" ht="19.5" customHeight="1" x14ac:dyDescent="0.25">
      <c r="B7" s="5" t="s">
        <v>2</v>
      </c>
    </row>
    <row r="8" spans="2:2" ht="15.75" customHeight="1" x14ac:dyDescent="0.25">
      <c r="B8" s="6" t="s">
        <v>3</v>
      </c>
    </row>
    <row r="9" spans="2:2" ht="7.5" customHeight="1" x14ac:dyDescent="0.25">
      <c r="B9" s="3"/>
    </row>
    <row r="10" spans="2:2" ht="21.75" customHeight="1" x14ac:dyDescent="0.25">
      <c r="B10" s="7" t="s">
        <v>251</v>
      </c>
    </row>
    <row r="11" spans="2:2" ht="39.75" customHeight="1" x14ac:dyDescent="0.25">
      <c r="B11" s="8" t="s">
        <v>4</v>
      </c>
    </row>
    <row r="12" spans="2:2" ht="7.5" customHeight="1" x14ac:dyDescent="0.25">
      <c r="B12" s="3"/>
    </row>
    <row r="13" spans="2:2" ht="18" customHeight="1" x14ac:dyDescent="0.25">
      <c r="B13" s="9" t="s">
        <v>5</v>
      </c>
    </row>
    <row r="14" spans="2:2" ht="12.75" customHeight="1" x14ac:dyDescent="0.25">
      <c r="B14" s="8" t="s">
        <v>253</v>
      </c>
    </row>
    <row r="15" spans="2:2" ht="12.75" customHeight="1" x14ac:dyDescent="0.25">
      <c r="B15" s="8" t="s">
        <v>254</v>
      </c>
    </row>
    <row r="16" spans="2:2" ht="12.75" customHeight="1" x14ac:dyDescent="0.25">
      <c r="B16" s="8" t="s">
        <v>255</v>
      </c>
    </row>
    <row r="17" spans="2:2" ht="12.75" customHeight="1" x14ac:dyDescent="0.25">
      <c r="B17" s="8" t="s">
        <v>256</v>
      </c>
    </row>
    <row r="18" spans="2:2" ht="12.75" customHeight="1" x14ac:dyDescent="0.25">
      <c r="B18" s="8" t="s">
        <v>257</v>
      </c>
    </row>
    <row r="19" spans="2:2" ht="12.75" customHeight="1" x14ac:dyDescent="0.25">
      <c r="B19" s="8" t="s">
        <v>258</v>
      </c>
    </row>
    <row r="20" spans="2:2" ht="12.75" customHeight="1" x14ac:dyDescent="0.25">
      <c r="B20" s="8" t="s">
        <v>259</v>
      </c>
    </row>
    <row r="21" spans="2:2" ht="7.5" customHeight="1" x14ac:dyDescent="0.25">
      <c r="B21" s="3"/>
    </row>
    <row r="22" spans="2:2" ht="18" customHeight="1" x14ac:dyDescent="0.25">
      <c r="B22" s="9" t="s">
        <v>6</v>
      </c>
    </row>
    <row r="23" spans="2:2" ht="39.75" customHeight="1" x14ac:dyDescent="0.25">
      <c r="B23" s="8" t="s">
        <v>7</v>
      </c>
    </row>
    <row r="24" spans="2:2" ht="39.75" customHeight="1" x14ac:dyDescent="0.25">
      <c r="B24" s="8" t="s">
        <v>8</v>
      </c>
    </row>
    <row r="25" spans="2:2" ht="7.5" customHeight="1" x14ac:dyDescent="0.25">
      <c r="B25" s="3"/>
    </row>
    <row r="26" spans="2:2" ht="18" customHeight="1" x14ac:dyDescent="0.25">
      <c r="B26" s="10" t="s">
        <v>260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71"/>
  <sheetViews>
    <sheetView showGridLines="0" topLeftCell="A58" zoomScaleNormal="100" workbookViewId="0">
      <selection activeCell="F30" sqref="F30"/>
    </sheetView>
  </sheetViews>
  <sheetFormatPr defaultColWidth="8.7109375" defaultRowHeight="15" x14ac:dyDescent="0.25"/>
  <cols>
    <col min="1" max="1" width="2" customWidth="1"/>
    <col min="2" max="2" width="50" customWidth="1"/>
    <col min="3" max="3" width="11" customWidth="1"/>
    <col min="4" max="4" width="16" customWidth="1"/>
    <col min="5" max="5" width="52" customWidth="1"/>
  </cols>
  <sheetData>
    <row r="2" spans="2:5" ht="19.5" x14ac:dyDescent="0.3">
      <c r="B2" s="11" t="s">
        <v>0</v>
      </c>
    </row>
    <row r="3" spans="2:5" x14ac:dyDescent="0.25">
      <c r="B3" s="12" t="s">
        <v>9</v>
      </c>
    </row>
    <row r="4" spans="2:5" x14ac:dyDescent="0.25">
      <c r="B4" s="13" t="s">
        <v>10</v>
      </c>
    </row>
    <row r="6" spans="2:5" ht="16.5" customHeight="1" x14ac:dyDescent="0.25">
      <c r="B6" s="14" t="s">
        <v>11</v>
      </c>
      <c r="C6" s="15"/>
      <c r="D6" s="15"/>
      <c r="E6" s="15"/>
    </row>
    <row r="7" spans="2:5" ht="13.5" customHeight="1" x14ac:dyDescent="0.25">
      <c r="B7" s="16" t="s">
        <v>12</v>
      </c>
      <c r="C7" s="17"/>
      <c r="D7" s="18" t="s">
        <v>2</v>
      </c>
    </row>
    <row r="8" spans="2:5" ht="13.5" customHeight="1" x14ac:dyDescent="0.25">
      <c r="B8" s="16" t="s">
        <v>13</v>
      </c>
      <c r="C8" s="17"/>
      <c r="D8" s="18" t="s">
        <v>14</v>
      </c>
    </row>
    <row r="9" spans="2:5" ht="13.5" customHeight="1" x14ac:dyDescent="0.25">
      <c r="B9" s="16" t="s">
        <v>15</v>
      </c>
      <c r="C9" s="17"/>
      <c r="D9" s="18" t="s">
        <v>16</v>
      </c>
    </row>
    <row r="10" spans="2:5" ht="13.5" customHeight="1" x14ac:dyDescent="0.25">
      <c r="B10" s="16" t="s">
        <v>17</v>
      </c>
      <c r="C10" s="17"/>
      <c r="D10" s="18" t="s">
        <v>18</v>
      </c>
    </row>
    <row r="11" spans="2:5" ht="13.5" customHeight="1" x14ac:dyDescent="0.25">
      <c r="B11" s="16" t="s">
        <v>19</v>
      </c>
      <c r="C11" s="17"/>
      <c r="D11" s="18" t="s">
        <v>20</v>
      </c>
    </row>
    <row r="13" spans="2:5" ht="16.5" customHeight="1" x14ac:dyDescent="0.25">
      <c r="B13" s="14" t="s">
        <v>21</v>
      </c>
      <c r="C13" s="15"/>
      <c r="D13" s="15"/>
      <c r="E13" s="15"/>
    </row>
    <row r="14" spans="2:5" ht="13.5" customHeight="1" x14ac:dyDescent="0.25">
      <c r="B14" s="16" t="s">
        <v>22</v>
      </c>
      <c r="C14" s="17" t="s">
        <v>23</v>
      </c>
      <c r="D14" s="19">
        <v>5</v>
      </c>
      <c r="E14" s="20"/>
    </row>
    <row r="15" spans="2:5" ht="13.5" customHeight="1" x14ac:dyDescent="0.25">
      <c r="B15" s="16" t="s">
        <v>24</v>
      </c>
      <c r="C15" s="17" t="s">
        <v>25</v>
      </c>
      <c r="D15" s="21">
        <v>4</v>
      </c>
      <c r="E15" s="20"/>
    </row>
    <row r="16" spans="2:5" ht="13.5" customHeight="1" x14ac:dyDescent="0.25">
      <c r="B16" s="16" t="s">
        <v>26</v>
      </c>
      <c r="C16" s="17" t="s">
        <v>27</v>
      </c>
      <c r="D16" s="22">
        <v>1750</v>
      </c>
      <c r="E16" s="20" t="s">
        <v>28</v>
      </c>
    </row>
    <row r="17" spans="2:5" ht="13.5" customHeight="1" x14ac:dyDescent="0.25">
      <c r="B17" s="16" t="s">
        <v>29</v>
      </c>
      <c r="C17" s="17" t="s">
        <v>30</v>
      </c>
      <c r="D17" s="23">
        <v>0.97</v>
      </c>
      <c r="E17" s="20"/>
    </row>
    <row r="18" spans="2:5" ht="13.5" customHeight="1" x14ac:dyDescent="0.25">
      <c r="B18" s="16" t="s">
        <v>31</v>
      </c>
      <c r="C18" s="17" t="s">
        <v>30</v>
      </c>
      <c r="D18" s="23">
        <v>0.03</v>
      </c>
      <c r="E18" s="20"/>
    </row>
    <row r="19" spans="2:5" ht="13.5" customHeight="1" x14ac:dyDescent="0.25">
      <c r="B19" s="16" t="s">
        <v>32</v>
      </c>
      <c r="C19" s="17" t="s">
        <v>33</v>
      </c>
      <c r="D19" s="23">
        <v>5.4999999999999997E-3</v>
      </c>
      <c r="E19" s="20"/>
    </row>
    <row r="20" spans="2:5" ht="13.5" customHeight="1" x14ac:dyDescent="0.25">
      <c r="B20" s="16" t="s">
        <v>34</v>
      </c>
      <c r="C20" s="17" t="s">
        <v>35</v>
      </c>
      <c r="D20" s="24">
        <v>20</v>
      </c>
      <c r="E20" s="20"/>
    </row>
    <row r="22" spans="2:5" ht="16.5" customHeight="1" x14ac:dyDescent="0.25">
      <c r="B22" s="14" t="s">
        <v>36</v>
      </c>
      <c r="C22" s="15"/>
      <c r="D22" s="15"/>
      <c r="E22" s="15"/>
    </row>
    <row r="23" spans="2:5" ht="13.5" customHeight="1" x14ac:dyDescent="0.25">
      <c r="B23" s="16" t="s">
        <v>37</v>
      </c>
      <c r="C23" s="17" t="s">
        <v>20</v>
      </c>
      <c r="D23" s="25">
        <v>3400000</v>
      </c>
      <c r="E23" s="20"/>
    </row>
    <row r="24" spans="2:5" ht="13.5" customHeight="1" x14ac:dyDescent="0.25">
      <c r="B24" s="16" t="s">
        <v>38</v>
      </c>
      <c r="C24" s="17" t="s">
        <v>20</v>
      </c>
      <c r="D24" s="25">
        <v>1150000</v>
      </c>
      <c r="E24" s="20"/>
    </row>
    <row r="25" spans="2:5" ht="13.5" customHeight="1" x14ac:dyDescent="0.25">
      <c r="B25" s="16" t="s">
        <v>39</v>
      </c>
      <c r="C25" s="17" t="s">
        <v>20</v>
      </c>
      <c r="D25" s="25">
        <v>180000</v>
      </c>
      <c r="E25" s="20"/>
    </row>
    <row r="26" spans="2:5" ht="13.5" customHeight="1" x14ac:dyDescent="0.25">
      <c r="B26" s="16" t="s">
        <v>40</v>
      </c>
      <c r="C26" s="17" t="s">
        <v>20</v>
      </c>
      <c r="D26" s="25">
        <v>260000</v>
      </c>
      <c r="E26" s="20"/>
    </row>
    <row r="27" spans="2:5" ht="13.5" customHeight="1" x14ac:dyDescent="0.25">
      <c r="B27" s="16" t="s">
        <v>41</v>
      </c>
      <c r="C27" s="17" t="s">
        <v>20</v>
      </c>
      <c r="D27" s="25">
        <v>145000</v>
      </c>
      <c r="E27" s="20"/>
    </row>
    <row r="28" spans="2:5" ht="13.5" customHeight="1" x14ac:dyDescent="0.25">
      <c r="B28" s="16" t="s">
        <v>42</v>
      </c>
      <c r="C28" s="17" t="s">
        <v>20</v>
      </c>
      <c r="D28" s="25">
        <v>175000</v>
      </c>
      <c r="E28" s="20"/>
    </row>
    <row r="29" spans="2:5" ht="13.5" customHeight="1" x14ac:dyDescent="0.25">
      <c r="B29" s="16" t="s">
        <v>43</v>
      </c>
      <c r="C29" s="17" t="s">
        <v>44</v>
      </c>
      <c r="D29" s="23">
        <v>0.05</v>
      </c>
      <c r="E29" s="20"/>
    </row>
    <row r="30" spans="2:5" ht="13.5" customHeight="1" x14ac:dyDescent="0.25">
      <c r="B30" s="16" t="s">
        <v>45</v>
      </c>
      <c r="C30" s="17" t="s">
        <v>20</v>
      </c>
      <c r="D30" s="26">
        <f>SUM(D23:D28)*(1+D29)</f>
        <v>5575500</v>
      </c>
      <c r="E30" s="20"/>
    </row>
    <row r="32" spans="2:5" ht="16.5" customHeight="1" x14ac:dyDescent="0.25">
      <c r="B32" s="14" t="s">
        <v>46</v>
      </c>
      <c r="C32" s="15"/>
      <c r="D32" s="15"/>
      <c r="E32" s="15"/>
    </row>
    <row r="33" spans="2:5" ht="13.5" customHeight="1" x14ac:dyDescent="0.25">
      <c r="B33" s="16" t="s">
        <v>47</v>
      </c>
      <c r="C33" s="17" t="s">
        <v>48</v>
      </c>
      <c r="D33" s="27">
        <v>145</v>
      </c>
      <c r="E33" s="20" t="s">
        <v>49</v>
      </c>
    </row>
    <row r="34" spans="2:5" ht="13.5" customHeight="1" x14ac:dyDescent="0.25">
      <c r="B34" s="16" t="s">
        <v>50</v>
      </c>
      <c r="C34" s="17" t="s">
        <v>33</v>
      </c>
      <c r="D34" s="23">
        <v>0.02</v>
      </c>
      <c r="E34" s="20" t="s">
        <v>51</v>
      </c>
    </row>
    <row r="35" spans="2:5" ht="13.5" customHeight="1" x14ac:dyDescent="0.25">
      <c r="B35" s="16" t="s">
        <v>52</v>
      </c>
      <c r="C35" s="17" t="s">
        <v>25</v>
      </c>
      <c r="D35" s="22">
        <v>9000</v>
      </c>
      <c r="E35" s="20" t="s">
        <v>53</v>
      </c>
    </row>
    <row r="36" spans="2:5" ht="13.5" customHeight="1" x14ac:dyDescent="0.25">
      <c r="B36" s="16" t="s">
        <v>54</v>
      </c>
      <c r="C36" s="17" t="s">
        <v>55</v>
      </c>
      <c r="D36" s="23">
        <v>0.85</v>
      </c>
      <c r="E36" s="20"/>
    </row>
    <row r="37" spans="2:5" ht="13.5" customHeight="1" x14ac:dyDescent="0.25">
      <c r="B37" s="16" t="s">
        <v>56</v>
      </c>
      <c r="C37" s="17" t="s">
        <v>35</v>
      </c>
      <c r="D37" s="24">
        <v>15</v>
      </c>
      <c r="E37" s="20"/>
    </row>
    <row r="39" spans="2:5" ht="16.5" customHeight="1" x14ac:dyDescent="0.25">
      <c r="B39" s="14" t="s">
        <v>57</v>
      </c>
      <c r="C39" s="15"/>
      <c r="D39" s="15"/>
      <c r="E39" s="15"/>
    </row>
    <row r="40" spans="2:5" ht="13.5" customHeight="1" x14ac:dyDescent="0.25">
      <c r="B40" s="16" t="s">
        <v>58</v>
      </c>
      <c r="C40" s="17" t="s">
        <v>59</v>
      </c>
      <c r="D40" s="23">
        <v>1.4E-2</v>
      </c>
      <c r="E40" s="20"/>
    </row>
    <row r="41" spans="2:5" ht="13.5" customHeight="1" x14ac:dyDescent="0.25">
      <c r="B41" s="16" t="s">
        <v>60</v>
      </c>
      <c r="C41" s="17" t="s">
        <v>61</v>
      </c>
      <c r="D41" s="26">
        <f>(D23+D24)*D40</f>
        <v>63700</v>
      </c>
      <c r="E41" s="20"/>
    </row>
    <row r="42" spans="2:5" ht="13.5" customHeight="1" x14ac:dyDescent="0.25">
      <c r="B42" s="16" t="s">
        <v>62</v>
      </c>
      <c r="C42" s="17" t="s">
        <v>63</v>
      </c>
      <c r="D42" s="23">
        <v>5.4999999999999997E-3</v>
      </c>
      <c r="E42" s="20"/>
    </row>
    <row r="43" spans="2:5" ht="13.5" customHeight="1" x14ac:dyDescent="0.25">
      <c r="B43" s="16" t="s">
        <v>64</v>
      </c>
      <c r="C43" s="17" t="s">
        <v>61</v>
      </c>
      <c r="D43" s="26">
        <f>D30*D42</f>
        <v>30665.25</v>
      </c>
      <c r="E43" s="20"/>
    </row>
    <row r="44" spans="2:5" ht="13.5" customHeight="1" x14ac:dyDescent="0.25">
      <c r="B44" s="16" t="s">
        <v>65</v>
      </c>
      <c r="C44" s="17" t="s">
        <v>61</v>
      </c>
      <c r="D44" s="25">
        <v>12000</v>
      </c>
      <c r="E44" s="20"/>
    </row>
    <row r="45" spans="2:5" ht="13.5" customHeight="1" x14ac:dyDescent="0.25">
      <c r="B45" s="16" t="s">
        <v>66</v>
      </c>
      <c r="C45" s="17" t="s">
        <v>61</v>
      </c>
      <c r="D45" s="25">
        <v>22000</v>
      </c>
      <c r="E45" s="20"/>
    </row>
    <row r="46" spans="2:5" ht="13.5" customHeight="1" x14ac:dyDescent="0.25">
      <c r="B46" s="16" t="s">
        <v>67</v>
      </c>
      <c r="C46" s="17" t="s">
        <v>61</v>
      </c>
      <c r="D46" s="25">
        <v>34000</v>
      </c>
      <c r="E46" s="20"/>
    </row>
    <row r="47" spans="2:5" ht="13.5" customHeight="1" x14ac:dyDescent="0.25">
      <c r="B47" s="16" t="s">
        <v>68</v>
      </c>
      <c r="C47" s="17" t="s">
        <v>61</v>
      </c>
      <c r="D47" s="25">
        <v>18000</v>
      </c>
      <c r="E47" s="20"/>
    </row>
    <row r="48" spans="2:5" ht="13.5" customHeight="1" x14ac:dyDescent="0.25">
      <c r="B48" s="16" t="s">
        <v>69</v>
      </c>
      <c r="C48" s="17" t="s">
        <v>61</v>
      </c>
      <c r="D48" s="26">
        <f>D41+D43+SUM(D44:D47)</f>
        <v>180365.25</v>
      </c>
      <c r="E48" s="20"/>
    </row>
    <row r="49" spans="2:5" ht="13.5" customHeight="1" x14ac:dyDescent="0.25">
      <c r="B49" s="16" t="s">
        <v>70</v>
      </c>
      <c r="C49" s="17" t="s">
        <v>33</v>
      </c>
      <c r="D49" s="23">
        <v>3.5000000000000003E-2</v>
      </c>
      <c r="E49" s="20" t="s">
        <v>71</v>
      </c>
    </row>
    <row r="51" spans="2:5" ht="16.5" customHeight="1" x14ac:dyDescent="0.25">
      <c r="B51" s="14" t="s">
        <v>72</v>
      </c>
      <c r="C51" s="15"/>
      <c r="D51" s="15"/>
      <c r="E51" s="15"/>
    </row>
    <row r="52" spans="2:5" ht="13.5" customHeight="1" x14ac:dyDescent="0.25">
      <c r="B52" s="16" t="s">
        <v>73</v>
      </c>
      <c r="C52" s="17" t="s">
        <v>74</v>
      </c>
      <c r="D52" s="23">
        <v>0.66</v>
      </c>
      <c r="E52" s="20"/>
    </row>
    <row r="53" spans="2:5" ht="13.5" customHeight="1" x14ac:dyDescent="0.25">
      <c r="B53" s="16" t="s">
        <v>75</v>
      </c>
      <c r="C53" s="17" t="s">
        <v>30</v>
      </c>
      <c r="D53" s="23">
        <v>9.5000000000000001E-2</v>
      </c>
      <c r="E53" s="20" t="s">
        <v>76</v>
      </c>
    </row>
    <row r="54" spans="2:5" ht="13.5" customHeight="1" x14ac:dyDescent="0.25">
      <c r="B54" s="16" t="s">
        <v>77</v>
      </c>
      <c r="C54" s="17" t="s">
        <v>35</v>
      </c>
      <c r="D54" s="24">
        <v>14</v>
      </c>
      <c r="E54" s="20"/>
    </row>
    <row r="55" spans="2:5" ht="13.5" customHeight="1" x14ac:dyDescent="0.25">
      <c r="B55" s="16" t="s">
        <v>78</v>
      </c>
      <c r="C55" s="17" t="s">
        <v>79</v>
      </c>
      <c r="D55" s="28">
        <v>1.3</v>
      </c>
      <c r="E55" s="20"/>
    </row>
    <row r="56" spans="2:5" ht="13.5" customHeight="1" x14ac:dyDescent="0.25">
      <c r="B56" s="16" t="s">
        <v>80</v>
      </c>
      <c r="C56" s="17" t="s">
        <v>81</v>
      </c>
      <c r="D56" s="23">
        <v>1.4999999999999999E-2</v>
      </c>
      <c r="E56" s="20"/>
    </row>
    <row r="57" spans="2:5" ht="13.5" customHeight="1" x14ac:dyDescent="0.25">
      <c r="B57" s="16" t="s">
        <v>82</v>
      </c>
      <c r="C57" s="17" t="s">
        <v>83</v>
      </c>
      <c r="D57" s="24">
        <v>6</v>
      </c>
      <c r="E57" s="20"/>
    </row>
    <row r="58" spans="2:5" ht="13.5" customHeight="1" x14ac:dyDescent="0.25">
      <c r="B58" s="16" t="s">
        <v>84</v>
      </c>
      <c r="C58" s="17" t="s">
        <v>35</v>
      </c>
      <c r="D58" s="24">
        <v>1</v>
      </c>
      <c r="E58" s="20"/>
    </row>
    <row r="59" spans="2:5" ht="13.5" customHeight="1" x14ac:dyDescent="0.25">
      <c r="B59" s="16" t="s">
        <v>85</v>
      </c>
      <c r="C59" s="17" t="s">
        <v>20</v>
      </c>
      <c r="D59" s="25">
        <v>50000</v>
      </c>
      <c r="E59" s="20"/>
    </row>
    <row r="61" spans="2:5" ht="16.5" customHeight="1" x14ac:dyDescent="0.25">
      <c r="B61" s="14" t="s">
        <v>86</v>
      </c>
      <c r="C61" s="15"/>
      <c r="D61" s="15"/>
      <c r="E61" s="15"/>
    </row>
    <row r="62" spans="2:5" ht="13.5" customHeight="1" x14ac:dyDescent="0.25">
      <c r="B62" s="16" t="s">
        <v>87</v>
      </c>
      <c r="C62" s="17" t="s">
        <v>30</v>
      </c>
      <c r="D62" s="23">
        <v>0.3</v>
      </c>
      <c r="E62" s="20"/>
    </row>
    <row r="63" spans="2:5" ht="13.5" customHeight="1" x14ac:dyDescent="0.25">
      <c r="B63" s="16" t="s">
        <v>88</v>
      </c>
      <c r="C63" s="17" t="s">
        <v>30</v>
      </c>
      <c r="D63" s="23">
        <v>0.03</v>
      </c>
      <c r="E63" s="20"/>
    </row>
    <row r="64" spans="2:5" ht="13.5" customHeight="1" x14ac:dyDescent="0.25">
      <c r="B64" s="16" t="s">
        <v>89</v>
      </c>
      <c r="C64" s="17" t="s">
        <v>35</v>
      </c>
      <c r="D64" s="24">
        <v>3</v>
      </c>
      <c r="E64" s="20" t="s">
        <v>90</v>
      </c>
    </row>
    <row r="65" spans="2:5" ht="13.5" customHeight="1" x14ac:dyDescent="0.25">
      <c r="B65" s="16" t="s">
        <v>91</v>
      </c>
      <c r="C65" s="17" t="s">
        <v>30</v>
      </c>
      <c r="D65" s="23">
        <v>0.5</v>
      </c>
      <c r="E65" s="20" t="s">
        <v>92</v>
      </c>
    </row>
    <row r="66" spans="2:5" ht="13.5" customHeight="1" x14ac:dyDescent="0.25">
      <c r="B66" s="16" t="s">
        <v>93</v>
      </c>
      <c r="C66" s="17" t="s">
        <v>30</v>
      </c>
      <c r="D66" s="23">
        <v>0.25</v>
      </c>
      <c r="E66" s="20"/>
    </row>
    <row r="67" spans="2:5" ht="13.5" customHeight="1" x14ac:dyDescent="0.25">
      <c r="B67" s="16" t="s">
        <v>94</v>
      </c>
      <c r="C67" s="17" t="s">
        <v>35</v>
      </c>
      <c r="D67" s="24">
        <v>20</v>
      </c>
      <c r="E67" s="20"/>
    </row>
    <row r="69" spans="2:5" ht="16.5" customHeight="1" x14ac:dyDescent="0.25">
      <c r="B69" s="14" t="s">
        <v>95</v>
      </c>
      <c r="C69" s="15"/>
      <c r="D69" s="15"/>
      <c r="E69" s="15"/>
    </row>
    <row r="70" spans="2:5" ht="13.5" customHeight="1" x14ac:dyDescent="0.25">
      <c r="B70" s="16" t="s">
        <v>96</v>
      </c>
      <c r="C70" s="17" t="s">
        <v>30</v>
      </c>
      <c r="D70" s="23">
        <v>0.11</v>
      </c>
      <c r="E70" s="20"/>
    </row>
    <row r="71" spans="2:5" ht="13.5" customHeight="1" x14ac:dyDescent="0.25">
      <c r="B71" s="16" t="s">
        <v>97</v>
      </c>
      <c r="C71" s="17" t="s">
        <v>30</v>
      </c>
      <c r="D71" s="23">
        <v>0.18</v>
      </c>
      <c r="E71" s="20"/>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X32"/>
  <sheetViews>
    <sheetView showGridLines="0" topLeftCell="A13" zoomScaleNormal="100" workbookViewId="0">
      <selection activeCell="J36" sqref="J36"/>
    </sheetView>
  </sheetViews>
  <sheetFormatPr defaultColWidth="8.7109375" defaultRowHeight="15" x14ac:dyDescent="0.25"/>
  <cols>
    <col min="1" max="1" width="2" customWidth="1"/>
    <col min="2" max="2" width="44" customWidth="1"/>
    <col min="3" max="3" width="11" customWidth="1"/>
    <col min="4" max="24" width="12" customWidth="1"/>
  </cols>
  <sheetData>
    <row r="2" spans="2:24" ht="19.5" x14ac:dyDescent="0.3">
      <c r="B2" s="11" t="s">
        <v>0</v>
      </c>
    </row>
    <row r="3" spans="2:24" x14ac:dyDescent="0.25">
      <c r="B3" s="12" t="s">
        <v>98</v>
      </c>
    </row>
    <row r="4" spans="2:24" x14ac:dyDescent="0.25">
      <c r="B4" s="13" t="s">
        <v>99</v>
      </c>
    </row>
    <row r="6" spans="2:24" ht="15.75" customHeight="1" x14ac:dyDescent="0.25">
      <c r="B6" s="29" t="s">
        <v>100</v>
      </c>
      <c r="D6" s="30" t="s">
        <v>101</v>
      </c>
      <c r="E6" s="31" t="s">
        <v>102</v>
      </c>
      <c r="F6" s="31" t="s">
        <v>103</v>
      </c>
      <c r="G6" s="31" t="s">
        <v>104</v>
      </c>
      <c r="H6" s="31" t="s">
        <v>105</v>
      </c>
      <c r="I6" s="31" t="s">
        <v>106</v>
      </c>
      <c r="J6" s="31" t="s">
        <v>107</v>
      </c>
      <c r="K6" s="31" t="s">
        <v>108</v>
      </c>
      <c r="L6" s="31" t="s">
        <v>109</v>
      </c>
      <c r="M6" s="31" t="s">
        <v>110</v>
      </c>
      <c r="N6" s="31" t="s">
        <v>111</v>
      </c>
      <c r="O6" s="31" t="s">
        <v>112</v>
      </c>
      <c r="P6" s="31" t="s">
        <v>113</v>
      </c>
      <c r="Q6" s="31" t="s">
        <v>114</v>
      </c>
      <c r="R6" s="31" t="s">
        <v>115</v>
      </c>
      <c r="S6" s="31" t="s">
        <v>116</v>
      </c>
      <c r="T6" s="31" t="s">
        <v>117</v>
      </c>
      <c r="U6" s="31" t="s">
        <v>118</v>
      </c>
      <c r="V6" s="31" t="s">
        <v>119</v>
      </c>
      <c r="W6" s="31" t="s">
        <v>120</v>
      </c>
      <c r="X6" s="31" t="s">
        <v>121</v>
      </c>
    </row>
    <row r="8" spans="2:24" ht="16.5" customHeight="1" x14ac:dyDescent="0.25">
      <c r="B8" s="14" t="s">
        <v>122</v>
      </c>
      <c r="C8" s="15"/>
      <c r="D8" s="15"/>
      <c r="E8" s="15"/>
      <c r="F8" s="15"/>
      <c r="G8" s="15"/>
      <c r="H8" s="15"/>
      <c r="I8" s="15"/>
      <c r="J8" s="15"/>
      <c r="K8" s="15"/>
      <c r="L8" s="15"/>
      <c r="M8" s="15"/>
      <c r="N8" s="15"/>
      <c r="O8" s="15"/>
      <c r="P8" s="15"/>
      <c r="Q8" s="15"/>
      <c r="R8" s="15"/>
      <c r="S8" s="15"/>
      <c r="T8" s="15"/>
      <c r="U8" s="15"/>
      <c r="V8" s="15"/>
      <c r="W8" s="15"/>
      <c r="X8" s="15"/>
    </row>
    <row r="9" spans="2:24" ht="13.5" customHeight="1" x14ac:dyDescent="0.25">
      <c r="B9" s="16" t="s">
        <v>123</v>
      </c>
      <c r="C9" s="17" t="s">
        <v>25</v>
      </c>
      <c r="E9" s="32">
        <f>Assumptions!$D$14*Assumptions!$D$16*(1-Assumptions!$D$19)^(1-1)</f>
        <v>8750</v>
      </c>
      <c r="F9" s="32">
        <f>Assumptions!$D$14*Assumptions!$D$16*(1-Assumptions!$D$19)^(2-1)</f>
        <v>8701.875</v>
      </c>
      <c r="G9" s="32">
        <f>Assumptions!$D$14*Assumptions!$D$16*(1-Assumptions!$D$19)^(3-1)</f>
        <v>8654.0146875000009</v>
      </c>
      <c r="H9" s="32">
        <f>Assumptions!$D$14*Assumptions!$D$16*(1-Assumptions!$D$19)^(4-1)</f>
        <v>8606.4176067187509</v>
      </c>
      <c r="I9" s="32">
        <f>Assumptions!$D$14*Assumptions!$D$16*(1-Assumptions!$D$19)^(5-1)</f>
        <v>8559.0823098817982</v>
      </c>
      <c r="J9" s="32">
        <f>Assumptions!$D$14*Assumptions!$D$16*(1-Assumptions!$D$19)^(6-1)</f>
        <v>8512.0073571774501</v>
      </c>
      <c r="K9" s="32">
        <f>Assumptions!$D$14*Assumptions!$D$16*(1-Assumptions!$D$19)^(7-1)</f>
        <v>8465.1913167129733</v>
      </c>
      <c r="L9" s="32">
        <f>Assumptions!$D$14*Assumptions!$D$16*(1-Assumptions!$D$19)^(8-1)</f>
        <v>8418.6327644710527</v>
      </c>
      <c r="M9" s="32">
        <f>Assumptions!$D$14*Assumptions!$D$16*(1-Assumptions!$D$19)^(9-1)</f>
        <v>8372.3302842664634</v>
      </c>
      <c r="N9" s="32">
        <f>Assumptions!$D$14*Assumptions!$D$16*(1-Assumptions!$D$19)^(10-1)</f>
        <v>8326.2824677029967</v>
      </c>
      <c r="O9" s="32">
        <f>Assumptions!$D$14*Assumptions!$D$16*(1-Assumptions!$D$19)^(11-1)</f>
        <v>8280.4879141306319</v>
      </c>
      <c r="P9" s="32">
        <f>Assumptions!$D$14*Assumptions!$D$16*(1-Assumptions!$D$19)^(12-1)</f>
        <v>8234.9452306029143</v>
      </c>
      <c r="Q9" s="32">
        <f>Assumptions!$D$14*Assumptions!$D$16*(1-Assumptions!$D$19)^(13-1)</f>
        <v>8189.6530318345976</v>
      </c>
      <c r="R9" s="32">
        <f>Assumptions!$D$14*Assumptions!$D$16*(1-Assumptions!$D$19)^(14-1)</f>
        <v>8144.6099401595084</v>
      </c>
      <c r="S9" s="32">
        <f>Assumptions!$D$14*Assumptions!$D$16*(1-Assumptions!$D$19)^(15-1)</f>
        <v>8099.8145854886316</v>
      </c>
      <c r="T9" s="32">
        <f>Assumptions!$D$14*Assumptions!$D$16*(1-Assumptions!$D$19)^(16-1)</f>
        <v>8055.2656052684442</v>
      </c>
      <c r="U9" s="32">
        <f>Assumptions!$D$14*Assumptions!$D$16*(1-Assumptions!$D$19)^(17-1)</f>
        <v>8010.9616444394678</v>
      </c>
      <c r="V9" s="32">
        <f>Assumptions!$D$14*Assumptions!$D$16*(1-Assumptions!$D$19)^(18-1)</f>
        <v>7966.9013553950517</v>
      </c>
      <c r="W9" s="32">
        <f>Assumptions!$D$14*Assumptions!$D$16*(1-Assumptions!$D$19)^(19-1)</f>
        <v>7923.0833979403787</v>
      </c>
      <c r="X9" s="32">
        <f>Assumptions!$D$14*Assumptions!$D$16*(1-Assumptions!$D$19)^(20-1)</f>
        <v>7879.506439251707</v>
      </c>
    </row>
    <row r="10" spans="2:24" ht="13.5" customHeight="1" x14ac:dyDescent="0.25">
      <c r="B10" s="16" t="s">
        <v>124</v>
      </c>
      <c r="C10" s="17" t="s">
        <v>25</v>
      </c>
      <c r="E10" s="32">
        <f>E9*Assumptions!$D$17*(1-Assumptions!$D$18)</f>
        <v>8232.875</v>
      </c>
      <c r="F10" s="32">
        <f>F9*Assumptions!$D$17*(1-Assumptions!$D$18)</f>
        <v>8187.5941874999999</v>
      </c>
      <c r="G10" s="32">
        <f>G9*Assumptions!$D$17*(1-Assumptions!$D$18)</f>
        <v>8142.5624194687507</v>
      </c>
      <c r="H10" s="32">
        <f>H9*Assumptions!$D$17*(1-Assumptions!$D$18)</f>
        <v>8097.7783261616714</v>
      </c>
      <c r="I10" s="32">
        <f>I9*Assumptions!$D$17*(1-Assumptions!$D$18)</f>
        <v>8053.2405453677829</v>
      </c>
      <c r="J10" s="32">
        <f>J9*Assumptions!$D$17*(1-Assumptions!$D$18)</f>
        <v>8008.9477223682625</v>
      </c>
      <c r="K10" s="32">
        <f>K9*Assumptions!$D$17*(1-Assumptions!$D$18)</f>
        <v>7964.8985098952362</v>
      </c>
      <c r="L10" s="32">
        <f>L9*Assumptions!$D$17*(1-Assumptions!$D$18)</f>
        <v>7921.0915680908129</v>
      </c>
      <c r="M10" s="32">
        <f>M9*Assumptions!$D$17*(1-Assumptions!$D$18)</f>
        <v>7877.5255644663148</v>
      </c>
      <c r="N10" s="32">
        <f>N9*Assumptions!$D$17*(1-Assumptions!$D$18)</f>
        <v>7834.1991738617489</v>
      </c>
      <c r="O10" s="32">
        <f>O9*Assumptions!$D$17*(1-Assumptions!$D$18)</f>
        <v>7791.1110784055118</v>
      </c>
      <c r="P10" s="32">
        <f>P9*Assumptions!$D$17*(1-Assumptions!$D$18)</f>
        <v>7748.2599674742814</v>
      </c>
      <c r="Q10" s="32">
        <f>Q9*Assumptions!$D$17*(1-Assumptions!$D$18)</f>
        <v>7705.6445376531719</v>
      </c>
      <c r="R10" s="32">
        <f>R9*Assumptions!$D$17*(1-Assumptions!$D$18)</f>
        <v>7663.2634926960809</v>
      </c>
      <c r="S10" s="32">
        <f>S9*Assumptions!$D$17*(1-Assumptions!$D$18)</f>
        <v>7621.115543486253</v>
      </c>
      <c r="T10" s="32">
        <f>T9*Assumptions!$D$17*(1-Assumptions!$D$18)</f>
        <v>7579.1994079970791</v>
      </c>
      <c r="U10" s="32">
        <f>U9*Assumptions!$D$17*(1-Assumptions!$D$18)</f>
        <v>7537.5138112530949</v>
      </c>
      <c r="V10" s="32">
        <f>V9*Assumptions!$D$17*(1-Assumptions!$D$18)</f>
        <v>7496.0574852912041</v>
      </c>
      <c r="W10" s="32">
        <f>W9*Assumptions!$D$17*(1-Assumptions!$D$18)</f>
        <v>7454.829169122102</v>
      </c>
      <c r="X10" s="32">
        <f>X9*Assumptions!$D$17*(1-Assumptions!$D$18)</f>
        <v>7413.8276086919304</v>
      </c>
    </row>
    <row r="11" spans="2:24" ht="13.5" customHeight="1" x14ac:dyDescent="0.25">
      <c r="B11" s="33" t="s">
        <v>125</v>
      </c>
      <c r="C11" s="17" t="s">
        <v>25</v>
      </c>
      <c r="E11" s="34">
        <f>MAX(MIN(E10,Assumptions!$D$35),Assumptions!$D$35*Assumptions!$D$36)</f>
        <v>8232.875</v>
      </c>
      <c r="F11" s="34">
        <f>MAX(MIN(F10,Assumptions!$D$35),Assumptions!$D$35*Assumptions!$D$36)</f>
        <v>8187.5941874999999</v>
      </c>
      <c r="G11" s="34">
        <f>MAX(MIN(G10,Assumptions!$D$35),Assumptions!$D$35*Assumptions!$D$36)</f>
        <v>8142.5624194687507</v>
      </c>
      <c r="H11" s="34">
        <f>MAX(MIN(H10,Assumptions!$D$35),Assumptions!$D$35*Assumptions!$D$36)</f>
        <v>8097.7783261616714</v>
      </c>
      <c r="I11" s="34">
        <f>MAX(MIN(I10,Assumptions!$D$35),Assumptions!$D$35*Assumptions!$D$36)</f>
        <v>8053.2405453677829</v>
      </c>
      <c r="J11" s="34">
        <f>MAX(MIN(J10,Assumptions!$D$35),Assumptions!$D$35*Assumptions!$D$36)</f>
        <v>8008.9477223682625</v>
      </c>
      <c r="K11" s="34">
        <f>MAX(MIN(K10,Assumptions!$D$35),Assumptions!$D$35*Assumptions!$D$36)</f>
        <v>7964.8985098952362</v>
      </c>
      <c r="L11" s="34">
        <f>MAX(MIN(L10,Assumptions!$D$35),Assumptions!$D$35*Assumptions!$D$36)</f>
        <v>7921.0915680908129</v>
      </c>
      <c r="M11" s="34">
        <f>MAX(MIN(M10,Assumptions!$D$35),Assumptions!$D$35*Assumptions!$D$36)</f>
        <v>7877.5255644663148</v>
      </c>
      <c r="N11" s="34">
        <f>MAX(MIN(N10,Assumptions!$D$35),Assumptions!$D$35*Assumptions!$D$36)</f>
        <v>7834.1991738617489</v>
      </c>
      <c r="O11" s="34">
        <f>MAX(MIN(O10,Assumptions!$D$35),Assumptions!$D$35*Assumptions!$D$36)</f>
        <v>7791.1110784055118</v>
      </c>
      <c r="P11" s="34">
        <f>MAX(MIN(P10,Assumptions!$D$35),Assumptions!$D$35*Assumptions!$D$36)</f>
        <v>7748.2599674742814</v>
      </c>
      <c r="Q11" s="34">
        <f>MAX(MIN(Q10,Assumptions!$D$35),Assumptions!$D$35*Assumptions!$D$36)</f>
        <v>7705.6445376531719</v>
      </c>
      <c r="R11" s="34">
        <f>MAX(MIN(R10,Assumptions!$D$35),Assumptions!$D$35*Assumptions!$D$36)</f>
        <v>7663.2634926960809</v>
      </c>
      <c r="S11" s="34">
        <f>MAX(MIN(S10,Assumptions!$D$35),Assumptions!$D$35*Assumptions!$D$36)</f>
        <v>7650</v>
      </c>
      <c r="T11" s="34">
        <f>MAX(MIN(T10,Assumptions!$D$35),Assumptions!$D$35*Assumptions!$D$36)</f>
        <v>7650</v>
      </c>
      <c r="U11" s="34">
        <f>MAX(MIN(U10,Assumptions!$D$35),Assumptions!$D$35*Assumptions!$D$36)</f>
        <v>7650</v>
      </c>
      <c r="V11" s="34">
        <f>MAX(MIN(V10,Assumptions!$D$35),Assumptions!$D$35*Assumptions!$D$36)</f>
        <v>7650</v>
      </c>
      <c r="W11" s="34">
        <f>MAX(MIN(W10,Assumptions!$D$35),Assumptions!$D$35*Assumptions!$D$36)</f>
        <v>7650</v>
      </c>
      <c r="X11" s="34">
        <f>MAX(MIN(X10,Assumptions!$D$35),Assumptions!$D$35*Assumptions!$D$36)</f>
        <v>7650</v>
      </c>
    </row>
    <row r="13" spans="2:24" ht="16.5" customHeight="1" x14ac:dyDescent="0.25">
      <c r="B13" s="14" t="s">
        <v>126</v>
      </c>
      <c r="C13" s="15"/>
      <c r="D13" s="15"/>
      <c r="E13" s="15"/>
      <c r="F13" s="15"/>
      <c r="G13" s="15"/>
      <c r="H13" s="15"/>
      <c r="I13" s="15"/>
      <c r="J13" s="15"/>
      <c r="K13" s="15"/>
      <c r="L13" s="15"/>
      <c r="M13" s="15"/>
      <c r="N13" s="15"/>
      <c r="O13" s="15"/>
      <c r="P13" s="15"/>
      <c r="Q13" s="15"/>
      <c r="R13" s="15"/>
      <c r="S13" s="15"/>
      <c r="T13" s="15"/>
      <c r="U13" s="15"/>
      <c r="V13" s="15"/>
      <c r="W13" s="15"/>
      <c r="X13" s="15"/>
    </row>
    <row r="14" spans="2:24" ht="13.5" customHeight="1" x14ac:dyDescent="0.25">
      <c r="B14" s="16" t="s">
        <v>127</v>
      </c>
      <c r="C14" s="17" t="s">
        <v>48</v>
      </c>
      <c r="E14" s="35">
        <f>Assumptions!$D$33*(1+Assumptions!$D$34)^(1-1)</f>
        <v>145</v>
      </c>
      <c r="F14" s="35">
        <f>Assumptions!$D$33*(1+Assumptions!$D$34)^(2-1)</f>
        <v>147.9</v>
      </c>
      <c r="G14" s="35">
        <f>Assumptions!$D$33*(1+Assumptions!$D$34)^(3-1)</f>
        <v>150.858</v>
      </c>
      <c r="H14" s="35">
        <f>Assumptions!$D$33*(1+Assumptions!$D$34)^(4-1)</f>
        <v>153.87515999999999</v>
      </c>
      <c r="I14" s="35">
        <f>Assumptions!$D$33*(1+Assumptions!$D$34)^(5-1)</f>
        <v>156.95266319999999</v>
      </c>
      <c r="J14" s="35">
        <f>Assumptions!$D$33*(1+Assumptions!$D$34)^(6-1)</f>
        <v>160.091716464</v>
      </c>
      <c r="K14" s="35">
        <f>Assumptions!$D$33*(1+Assumptions!$D$34)^(7-1)</f>
        <v>163.29355079328002</v>
      </c>
      <c r="L14" s="35">
        <f>Assumptions!$D$33*(1+Assumptions!$D$34)^(8-1)</f>
        <v>166.55942180914556</v>
      </c>
      <c r="M14" s="35">
        <f>Assumptions!$D$33*(1+Assumptions!$D$34)^(9-1)</f>
        <v>169.8906102453285</v>
      </c>
      <c r="N14" s="35">
        <f>Assumptions!$D$33*(1+Assumptions!$D$34)^(10-1)</f>
        <v>173.28842245023506</v>
      </c>
      <c r="O14" s="35">
        <f>Assumptions!$D$33*(1+Assumptions!$D$34)^(11-1)</f>
        <v>176.75419089923977</v>
      </c>
      <c r="P14" s="35">
        <f>Assumptions!$D$33*(1+Assumptions!$D$34)^(12-1)</f>
        <v>180.28927471722454</v>
      </c>
      <c r="Q14" s="35">
        <f>Assumptions!$D$33*(1+Assumptions!$D$34)^(13-1)</f>
        <v>183.89506021156907</v>
      </c>
      <c r="R14" s="35">
        <f>Assumptions!$D$33*(1+Assumptions!$D$34)^(14-1)</f>
        <v>187.57296141580042</v>
      </c>
      <c r="S14" s="35">
        <f>Assumptions!$D$33*(1+Assumptions!$D$34)^(15-1)</f>
        <v>191.32442064411646</v>
      </c>
      <c r="T14" s="35">
        <f>Assumptions!$D$33*(1+Assumptions!$D$34)^(16-1)</f>
        <v>195.15090905699873</v>
      </c>
      <c r="U14" s="35">
        <f>Assumptions!$D$33*(1+Assumptions!$D$34)^(17-1)</f>
        <v>199.05392723813875</v>
      </c>
      <c r="V14" s="35">
        <f>Assumptions!$D$33*(1+Assumptions!$D$34)^(18-1)</f>
        <v>203.03500578290155</v>
      </c>
      <c r="W14" s="35">
        <f>Assumptions!$D$33*(1+Assumptions!$D$34)^(19-1)</f>
        <v>207.09570589855954</v>
      </c>
      <c r="X14" s="35">
        <f>Assumptions!$D$33*(1+Assumptions!$D$34)^(20-1)</f>
        <v>211.23762001653074</v>
      </c>
    </row>
    <row r="15" spans="2:24" ht="13.5" customHeight="1" x14ac:dyDescent="0.25">
      <c r="B15" s="33" t="s">
        <v>128</v>
      </c>
      <c r="C15" s="17" t="s">
        <v>20</v>
      </c>
      <c r="E15" s="36">
        <f t="shared" ref="E15:X15" si="0">E11*E14</f>
        <v>1193766.875</v>
      </c>
      <c r="F15" s="36">
        <f t="shared" si="0"/>
        <v>1210945.18033125</v>
      </c>
      <c r="G15" s="36">
        <f t="shared" si="0"/>
        <v>1228370.6814762168</v>
      </c>
      <c r="H15" s="36">
        <f t="shared" si="0"/>
        <v>1246046.9355826594</v>
      </c>
      <c r="I15" s="36">
        <f t="shared" si="0"/>
        <v>1263977.5509856939</v>
      </c>
      <c r="J15" s="36">
        <f t="shared" si="0"/>
        <v>1282166.1879443785</v>
      </c>
      <c r="K15" s="36">
        <f t="shared" si="0"/>
        <v>1300616.5593888981</v>
      </c>
      <c r="L15" s="36">
        <f t="shared" si="0"/>
        <v>1319332.431678504</v>
      </c>
      <c r="M15" s="36">
        <f t="shared" si="0"/>
        <v>1338317.6253703581</v>
      </c>
      <c r="N15" s="36">
        <f t="shared" si="0"/>
        <v>1357576.0159994373</v>
      </c>
      <c r="O15" s="36">
        <f t="shared" si="0"/>
        <v>1377111.5348696697</v>
      </c>
      <c r="P15" s="36">
        <f t="shared" si="0"/>
        <v>1396928.169856444</v>
      </c>
      <c r="Q15" s="36">
        <f t="shared" si="0"/>
        <v>1417029.9662206783</v>
      </c>
      <c r="R15" s="36">
        <f t="shared" si="0"/>
        <v>1437421.027434594</v>
      </c>
      <c r="S15" s="36">
        <f t="shared" si="0"/>
        <v>1463631.8179274909</v>
      </c>
      <c r="T15" s="36">
        <f t="shared" si="0"/>
        <v>1492904.4542860403</v>
      </c>
      <c r="U15" s="36">
        <f t="shared" si="0"/>
        <v>1522762.5433717615</v>
      </c>
      <c r="V15" s="36">
        <f t="shared" si="0"/>
        <v>1553217.7942391969</v>
      </c>
      <c r="W15" s="36">
        <f t="shared" si="0"/>
        <v>1584282.1501239806</v>
      </c>
      <c r="X15" s="36">
        <f t="shared" si="0"/>
        <v>1615967.7931264602</v>
      </c>
    </row>
    <row r="17" spans="2:24" ht="16.5" customHeight="1" x14ac:dyDescent="0.25">
      <c r="B17" s="14" t="s">
        <v>57</v>
      </c>
      <c r="C17" s="15"/>
      <c r="D17" s="15"/>
      <c r="E17" s="15"/>
      <c r="F17" s="15"/>
      <c r="G17" s="15"/>
      <c r="H17" s="15"/>
      <c r="I17" s="15"/>
      <c r="J17" s="15"/>
      <c r="K17" s="15"/>
      <c r="L17" s="15"/>
      <c r="M17" s="15"/>
      <c r="N17" s="15"/>
      <c r="O17" s="15"/>
      <c r="P17" s="15"/>
      <c r="Q17" s="15"/>
      <c r="R17" s="15"/>
      <c r="S17" s="15"/>
      <c r="T17" s="15"/>
      <c r="U17" s="15"/>
      <c r="V17" s="15"/>
      <c r="W17" s="15"/>
      <c r="X17" s="15"/>
    </row>
    <row r="18" spans="2:24" ht="13.5" customHeight="1" x14ac:dyDescent="0.25">
      <c r="B18" s="16" t="s">
        <v>129</v>
      </c>
      <c r="C18" s="17" t="s">
        <v>20</v>
      </c>
      <c r="E18" s="37">
        <f>-Assumptions!$D$48*(1+Assumptions!$D$49)^(1-1)</f>
        <v>-180365.25</v>
      </c>
      <c r="F18" s="37">
        <f>-Assumptions!$D$48*(1+Assumptions!$D$49)^(2-1)</f>
        <v>-186678.03374999997</v>
      </c>
      <c r="G18" s="37">
        <f>-Assumptions!$D$48*(1+Assumptions!$D$49)^(3-1)</f>
        <v>-193211.76493124999</v>
      </c>
      <c r="H18" s="37">
        <f>-Assumptions!$D$48*(1+Assumptions!$D$49)^(4-1)</f>
        <v>-199974.1767038437</v>
      </c>
      <c r="I18" s="37">
        <f>-Assumptions!$D$48*(1+Assumptions!$D$49)^(5-1)</f>
        <v>-206973.27288847821</v>
      </c>
      <c r="J18" s="37">
        <f>-Assumptions!$D$48*(1+Assumptions!$D$49)^(6-1)</f>
        <v>-214217.33743957494</v>
      </c>
      <c r="K18" s="37">
        <f>-Assumptions!$D$48*(1+Assumptions!$D$49)^(7-1)</f>
        <v>-221714.94424996007</v>
      </c>
      <c r="L18" s="37">
        <f>-Assumptions!$D$48*(1+Assumptions!$D$49)^(8-1)</f>
        <v>-229474.96729870865</v>
      </c>
      <c r="M18" s="37">
        <f>-Assumptions!$D$48*(1+Assumptions!$D$49)^(9-1)</f>
        <v>-237506.59115416341</v>
      </c>
      <c r="N18" s="37">
        <f>-Assumptions!$D$48*(1+Assumptions!$D$49)^(10-1)</f>
        <v>-245819.32184455908</v>
      </c>
      <c r="O18" s="37">
        <f>-Assumptions!$D$48*(1+Assumptions!$D$49)^(11-1)</f>
        <v>-254422.99810911863</v>
      </c>
      <c r="P18" s="37">
        <f>-Assumptions!$D$48*(1+Assumptions!$D$49)^(12-1)</f>
        <v>-263327.80304293783</v>
      </c>
      <c r="Q18" s="37">
        <f>-Assumptions!$D$48*(1+Assumptions!$D$49)^(13-1)</f>
        <v>-272544.27614944061</v>
      </c>
      <c r="R18" s="37">
        <f>-Assumptions!$D$48*(1+Assumptions!$D$49)^(14-1)</f>
        <v>-282083.32581467094</v>
      </c>
      <c r="S18" s="37">
        <f>-Assumptions!$D$48*(1+Assumptions!$D$49)^(15-1)</f>
        <v>-291956.24221818452</v>
      </c>
      <c r="T18" s="37">
        <f>-Assumptions!$D$48*(1+Assumptions!$D$49)^(16-1)</f>
        <v>-302174.71069582092</v>
      </c>
      <c r="U18" s="37">
        <f>-Assumptions!$D$48*(1+Assumptions!$D$49)^(17-1)</f>
        <v>-312750.82557017455</v>
      </c>
      <c r="V18" s="37">
        <f>-Assumptions!$D$48*(1+Assumptions!$D$49)^(18-1)</f>
        <v>-323697.10446513066</v>
      </c>
      <c r="W18" s="37">
        <f>-Assumptions!$D$48*(1+Assumptions!$D$49)^(19-1)</f>
        <v>-335026.50312141021</v>
      </c>
      <c r="X18" s="37">
        <f>-Assumptions!$D$48*(1+Assumptions!$D$49)^(20-1)</f>
        <v>-346752.43073065951</v>
      </c>
    </row>
    <row r="19" spans="2:24" ht="13.5" customHeight="1" x14ac:dyDescent="0.25">
      <c r="B19" s="33" t="s">
        <v>130</v>
      </c>
      <c r="C19" s="17" t="s">
        <v>20</v>
      </c>
      <c r="E19" s="36">
        <f t="shared" ref="E19:X19" si="1">E15+E18</f>
        <v>1013401.625</v>
      </c>
      <c r="F19" s="36">
        <f t="shared" si="1"/>
        <v>1024267.14658125</v>
      </c>
      <c r="G19" s="36">
        <f t="shared" si="1"/>
        <v>1035158.9165449667</v>
      </c>
      <c r="H19" s="36">
        <f t="shared" si="1"/>
        <v>1046072.7588788157</v>
      </c>
      <c r="I19" s="36">
        <f t="shared" si="1"/>
        <v>1057004.2780972158</v>
      </c>
      <c r="J19" s="36">
        <f t="shared" si="1"/>
        <v>1067948.8505048035</v>
      </c>
      <c r="K19" s="36">
        <f t="shared" si="1"/>
        <v>1078901.615138938</v>
      </c>
      <c r="L19" s="36">
        <f t="shared" si="1"/>
        <v>1089857.4643797954</v>
      </c>
      <c r="M19" s="36">
        <f t="shared" si="1"/>
        <v>1100811.0342161946</v>
      </c>
      <c r="N19" s="36">
        <f t="shared" si="1"/>
        <v>1111756.6941548781</v>
      </c>
      <c r="O19" s="36">
        <f t="shared" si="1"/>
        <v>1122688.5367605512</v>
      </c>
      <c r="P19" s="36">
        <f t="shared" si="1"/>
        <v>1133600.3668135062</v>
      </c>
      <c r="Q19" s="36">
        <f t="shared" si="1"/>
        <v>1144485.6900712377</v>
      </c>
      <c r="R19" s="36">
        <f t="shared" si="1"/>
        <v>1155337.7016199231</v>
      </c>
      <c r="S19" s="36">
        <f t="shared" si="1"/>
        <v>1171675.5757093064</v>
      </c>
      <c r="T19" s="36">
        <f t="shared" si="1"/>
        <v>1190729.7435902194</v>
      </c>
      <c r="U19" s="36">
        <f t="shared" si="1"/>
        <v>1210011.717801587</v>
      </c>
      <c r="V19" s="36">
        <f t="shared" si="1"/>
        <v>1229520.6897740662</v>
      </c>
      <c r="W19" s="36">
        <f t="shared" si="1"/>
        <v>1249255.6470025703</v>
      </c>
      <c r="X19" s="36">
        <f t="shared" si="1"/>
        <v>1269215.3623958007</v>
      </c>
    </row>
    <row r="20" spans="2:24" ht="13.5" customHeight="1" x14ac:dyDescent="0.25">
      <c r="B20" s="16" t="s">
        <v>131</v>
      </c>
      <c r="C20" s="17" t="s">
        <v>30</v>
      </c>
      <c r="E20" s="38">
        <f t="shared" ref="E20:X20" si="2">IFERROR(E19/E15,0)</f>
        <v>0.84891082691501218</v>
      </c>
      <c r="F20" s="38">
        <f t="shared" si="2"/>
        <v>0.84584105310288715</v>
      </c>
      <c r="G20" s="38">
        <f t="shared" si="2"/>
        <v>0.84270890876436888</v>
      </c>
      <c r="H20" s="38">
        <f t="shared" si="2"/>
        <v>0.8395131266782222</v>
      </c>
      <c r="I20" s="38">
        <f t="shared" si="2"/>
        <v>0.83625241387628035</v>
      </c>
      <c r="J20" s="38">
        <f t="shared" si="2"/>
        <v>0.83292545112032856</v>
      </c>
      <c r="K20" s="38">
        <f t="shared" si="2"/>
        <v>0.82953089236835942</v>
      </c>
      <c r="L20" s="38">
        <f t="shared" si="2"/>
        <v>0.82606736422998261</v>
      </c>
      <c r="M20" s="38">
        <f t="shared" si="2"/>
        <v>0.82253346541077099</v>
      </c>
      <c r="N20" s="38">
        <f t="shared" si="2"/>
        <v>0.81892776614531682</v>
      </c>
      <c r="O20" s="38">
        <f t="shared" si="2"/>
        <v>0.81524880761876906</v>
      </c>
      <c r="P20" s="38">
        <f t="shared" si="2"/>
        <v>0.8114951013766164</v>
      </c>
      <c r="Q20" s="38">
        <f t="shared" si="2"/>
        <v>0.80766512872248153</v>
      </c>
      <c r="R20" s="38">
        <f t="shared" si="2"/>
        <v>0.8037573401036765</v>
      </c>
      <c r="S20" s="38">
        <f t="shared" si="2"/>
        <v>0.80052617151245331</v>
      </c>
      <c r="T20" s="38">
        <f t="shared" si="2"/>
        <v>0.79759273285822463</v>
      </c>
      <c r="U20" s="38">
        <f t="shared" si="2"/>
        <v>0.79461615540025754</v>
      </c>
      <c r="V20" s="38">
        <f t="shared" si="2"/>
        <v>0.79159580474437885</v>
      </c>
      <c r="W20" s="38">
        <f t="shared" si="2"/>
        <v>0.78853103716709039</v>
      </c>
      <c r="X20" s="38">
        <f t="shared" si="2"/>
        <v>0.78542119947837119</v>
      </c>
    </row>
    <row r="22" spans="2:24" ht="16.5" customHeight="1" x14ac:dyDescent="0.25">
      <c r="B22" s="14" t="s">
        <v>132</v>
      </c>
      <c r="C22" s="15"/>
      <c r="D22" s="15"/>
      <c r="E22" s="15"/>
      <c r="F22" s="15"/>
      <c r="G22" s="15"/>
      <c r="H22" s="15"/>
      <c r="I22" s="15"/>
      <c r="J22" s="15"/>
      <c r="K22" s="15"/>
      <c r="L22" s="15"/>
      <c r="M22" s="15"/>
      <c r="N22" s="15"/>
      <c r="O22" s="15"/>
      <c r="P22" s="15"/>
      <c r="Q22" s="15"/>
      <c r="R22" s="15"/>
      <c r="S22" s="15"/>
      <c r="T22" s="15"/>
      <c r="U22" s="15"/>
      <c r="V22" s="15"/>
      <c r="W22" s="15"/>
      <c r="X22" s="15"/>
    </row>
    <row r="23" spans="2:24" ht="13.5" customHeight="1" x14ac:dyDescent="0.25">
      <c r="B23" s="16" t="s">
        <v>133</v>
      </c>
      <c r="C23" s="17" t="s">
        <v>20</v>
      </c>
      <c r="D23" s="37">
        <f>Assumptions!$D$30+Debt!$D$8</f>
        <v>5750291.9249999998</v>
      </c>
    </row>
    <row r="24" spans="2:24" ht="13.5" customHeight="1" x14ac:dyDescent="0.25">
      <c r="B24" s="16" t="s">
        <v>249</v>
      </c>
      <c r="C24" s="17" t="s">
        <v>20</v>
      </c>
      <c r="E24" s="37">
        <f>$D$23</f>
        <v>5750291.9249999998</v>
      </c>
      <c r="F24" s="37">
        <f t="shared" ref="F24:X24" si="3">E26</f>
        <v>5750291.9249999998</v>
      </c>
      <c r="G24" s="37">
        <f t="shared" si="3"/>
        <v>5750291.9249999998</v>
      </c>
      <c r="H24" s="37">
        <f t="shared" si="3"/>
        <v>5750291.9249999998</v>
      </c>
      <c r="I24" s="37">
        <f t="shared" si="3"/>
        <v>1437572.9812500002</v>
      </c>
      <c r="J24" s="37">
        <f t="shared" si="3"/>
        <v>0</v>
      </c>
      <c r="K24" s="37">
        <f t="shared" si="3"/>
        <v>0</v>
      </c>
      <c r="L24" s="37">
        <f t="shared" si="3"/>
        <v>0</v>
      </c>
      <c r="M24" s="37">
        <f t="shared" si="3"/>
        <v>0</v>
      </c>
      <c r="N24" s="37">
        <f t="shared" si="3"/>
        <v>0</v>
      </c>
      <c r="O24" s="37">
        <f t="shared" si="3"/>
        <v>0</v>
      </c>
      <c r="P24" s="37">
        <f t="shared" si="3"/>
        <v>0</v>
      </c>
      <c r="Q24" s="37">
        <f t="shared" si="3"/>
        <v>0</v>
      </c>
      <c r="R24" s="37">
        <f t="shared" si="3"/>
        <v>0</v>
      </c>
      <c r="S24" s="37">
        <f t="shared" si="3"/>
        <v>0</v>
      </c>
      <c r="T24" s="37">
        <f t="shared" si="3"/>
        <v>0</v>
      </c>
      <c r="U24" s="37">
        <f t="shared" si="3"/>
        <v>0</v>
      </c>
      <c r="V24" s="37">
        <f t="shared" si="3"/>
        <v>0</v>
      </c>
      <c r="W24" s="37">
        <f t="shared" si="3"/>
        <v>0</v>
      </c>
      <c r="X24" s="37">
        <f t="shared" si="3"/>
        <v>0</v>
      </c>
    </row>
    <row r="25" spans="2:24" ht="13.5" customHeight="1" x14ac:dyDescent="0.25">
      <c r="B25" s="16" t="s">
        <v>134</v>
      </c>
      <c r="C25" s="17" t="s">
        <v>20</v>
      </c>
      <c r="E25" s="37">
        <f>IF(E27=1,0,MIN(E24,IF(1=Assumptions!$D$64+1,$D$23*(Assumptions!$D$65+Assumptions!$D$66),$D$23*Assumptions!$D$66)))</f>
        <v>0</v>
      </c>
      <c r="F25" s="37">
        <f>IF(F27=1,0,MIN(F24,IF(2=Assumptions!$D$64+1,$D$23*(Assumptions!$D$65+Assumptions!$D$66),$D$23*Assumptions!$D$66)))</f>
        <v>0</v>
      </c>
      <c r="G25" s="37">
        <f>IF(G27=1,0,MIN(G24,IF(3=Assumptions!$D$64+1,$D$23*(Assumptions!$D$65+Assumptions!$D$66),$D$23*Assumptions!$D$66)))</f>
        <v>0</v>
      </c>
      <c r="H25" s="37">
        <f>IF(H27=1,0,MIN(H24,IF(4=Assumptions!$D$64+1,$D$23*(Assumptions!$D$65+Assumptions!$D$66),$D$23*Assumptions!$D$66)))</f>
        <v>4312718.9437499996</v>
      </c>
      <c r="I25" s="37">
        <f>IF(I27=1,0,MIN(I24,IF(5=Assumptions!$D$64+1,$D$23*(Assumptions!$D$65+Assumptions!$D$66),$D$23*Assumptions!$D$66)))</f>
        <v>1437572.98125</v>
      </c>
      <c r="J25" s="37">
        <f>IF(J27=1,0,MIN(J24,IF(6=Assumptions!$D$64+1,$D$23*(Assumptions!$D$65+Assumptions!$D$66),$D$23*Assumptions!$D$66)))</f>
        <v>0</v>
      </c>
      <c r="K25" s="37">
        <f>IF(K27=1,0,MIN(K24,IF(7=Assumptions!$D$64+1,$D$23*(Assumptions!$D$65+Assumptions!$D$66),$D$23*Assumptions!$D$66)))</f>
        <v>0</v>
      </c>
      <c r="L25" s="37">
        <f>IF(L27=1,0,MIN(L24,IF(8=Assumptions!$D$64+1,$D$23*(Assumptions!$D$65+Assumptions!$D$66),$D$23*Assumptions!$D$66)))</f>
        <v>0</v>
      </c>
      <c r="M25" s="37">
        <f>IF(M27=1,0,MIN(M24,IF(9=Assumptions!$D$64+1,$D$23*(Assumptions!$D$65+Assumptions!$D$66),$D$23*Assumptions!$D$66)))</f>
        <v>0</v>
      </c>
      <c r="N25" s="37">
        <f>IF(N27=1,0,MIN(N24,IF(10=Assumptions!$D$64+1,$D$23*(Assumptions!$D$65+Assumptions!$D$66),$D$23*Assumptions!$D$66)))</f>
        <v>0</v>
      </c>
      <c r="O25" s="37">
        <f>IF(O27=1,0,MIN(O24,IF(11=Assumptions!$D$64+1,$D$23*(Assumptions!$D$65+Assumptions!$D$66),$D$23*Assumptions!$D$66)))</f>
        <v>0</v>
      </c>
      <c r="P25" s="37">
        <f>IF(P27=1,0,MIN(P24,IF(12=Assumptions!$D$64+1,$D$23*(Assumptions!$D$65+Assumptions!$D$66),$D$23*Assumptions!$D$66)))</f>
        <v>0</v>
      </c>
      <c r="Q25" s="37">
        <f>IF(Q27=1,0,MIN(Q24,IF(13=Assumptions!$D$64+1,$D$23*(Assumptions!$D$65+Assumptions!$D$66),$D$23*Assumptions!$D$66)))</f>
        <v>0</v>
      </c>
      <c r="R25" s="37">
        <f>IF(R27=1,0,MIN(R24,IF(14=Assumptions!$D$64+1,$D$23*(Assumptions!$D$65+Assumptions!$D$66),$D$23*Assumptions!$D$66)))</f>
        <v>0</v>
      </c>
      <c r="S25" s="37">
        <f>IF(S27=1,0,MIN(S24,IF(15=Assumptions!$D$64+1,$D$23*(Assumptions!$D$65+Assumptions!$D$66),$D$23*Assumptions!$D$66)))</f>
        <v>0</v>
      </c>
      <c r="T25" s="37">
        <f>IF(T27=1,0,MIN(T24,IF(16=Assumptions!$D$64+1,$D$23*(Assumptions!$D$65+Assumptions!$D$66),$D$23*Assumptions!$D$66)))</f>
        <v>0</v>
      </c>
      <c r="U25" s="37">
        <f>IF(U27=1,0,MIN(U24,IF(17=Assumptions!$D$64+1,$D$23*(Assumptions!$D$65+Assumptions!$D$66),$D$23*Assumptions!$D$66)))</f>
        <v>0</v>
      </c>
      <c r="V25" s="37">
        <f>IF(V27=1,0,MIN(V24,IF(18=Assumptions!$D$64+1,$D$23*(Assumptions!$D$65+Assumptions!$D$66),$D$23*Assumptions!$D$66)))</f>
        <v>0</v>
      </c>
      <c r="W25" s="37">
        <f>IF(W27=1,0,MIN(W24,IF(19=Assumptions!$D$64+1,$D$23*(Assumptions!$D$65+Assumptions!$D$66),$D$23*Assumptions!$D$66)))</f>
        <v>0</v>
      </c>
      <c r="X25" s="37">
        <f>IF(X27=1,0,MIN(X24,IF(20=Assumptions!$D$64+1,$D$23*(Assumptions!$D$65+Assumptions!$D$66),$D$23*Assumptions!$D$66)))</f>
        <v>0</v>
      </c>
    </row>
    <row r="26" spans="2:24" ht="13.5" customHeight="1" x14ac:dyDescent="0.25">
      <c r="B26" s="16" t="s">
        <v>250</v>
      </c>
      <c r="C26" s="17" t="s">
        <v>20</v>
      </c>
      <c r="E26" s="37">
        <f t="shared" ref="E26:X26" si="4">E24-E25</f>
        <v>5750291.9249999998</v>
      </c>
      <c r="F26" s="37">
        <f t="shared" si="4"/>
        <v>5750291.9249999998</v>
      </c>
      <c r="G26" s="37">
        <f t="shared" si="4"/>
        <v>5750291.9249999998</v>
      </c>
      <c r="H26" s="37">
        <f t="shared" si="4"/>
        <v>1437572.9812500002</v>
      </c>
      <c r="I26" s="37">
        <f t="shared" si="4"/>
        <v>0</v>
      </c>
      <c r="J26" s="37">
        <f t="shared" si="4"/>
        <v>0</v>
      </c>
      <c r="K26" s="37">
        <f t="shared" si="4"/>
        <v>0</v>
      </c>
      <c r="L26" s="37">
        <f t="shared" si="4"/>
        <v>0</v>
      </c>
      <c r="M26" s="37">
        <f t="shared" si="4"/>
        <v>0</v>
      </c>
      <c r="N26" s="37">
        <f t="shared" si="4"/>
        <v>0</v>
      </c>
      <c r="O26" s="37">
        <f t="shared" si="4"/>
        <v>0</v>
      </c>
      <c r="P26" s="37">
        <f t="shared" si="4"/>
        <v>0</v>
      </c>
      <c r="Q26" s="37">
        <f t="shared" si="4"/>
        <v>0</v>
      </c>
      <c r="R26" s="37">
        <f t="shared" si="4"/>
        <v>0</v>
      </c>
      <c r="S26" s="37">
        <f t="shared" si="4"/>
        <v>0</v>
      </c>
      <c r="T26" s="37">
        <f t="shared" si="4"/>
        <v>0</v>
      </c>
      <c r="U26" s="37">
        <f t="shared" si="4"/>
        <v>0</v>
      </c>
      <c r="V26" s="37">
        <f t="shared" si="4"/>
        <v>0</v>
      </c>
      <c r="W26" s="37">
        <f t="shared" si="4"/>
        <v>0</v>
      </c>
      <c r="X26" s="37">
        <f t="shared" si="4"/>
        <v>0</v>
      </c>
    </row>
    <row r="27" spans="2:24" ht="13.5" customHeight="1" x14ac:dyDescent="0.25">
      <c r="B27" s="16" t="s">
        <v>135</v>
      </c>
      <c r="C27" s="17" t="s">
        <v>136</v>
      </c>
      <c r="E27" s="39">
        <f>IF(1&lt;=Assumptions!$D$64,1,0)</f>
        <v>1</v>
      </c>
      <c r="F27" s="39">
        <f>IF(2&lt;=Assumptions!$D$64,1,0)</f>
        <v>1</v>
      </c>
      <c r="G27" s="39">
        <f>IF(3&lt;=Assumptions!$D$64,1,0)</f>
        <v>1</v>
      </c>
      <c r="H27" s="39">
        <f>IF(4&lt;=Assumptions!$D$64,1,0)</f>
        <v>0</v>
      </c>
      <c r="I27" s="39">
        <f>IF(5&lt;=Assumptions!$D$64,1,0)</f>
        <v>0</v>
      </c>
      <c r="J27" s="39">
        <f>IF(6&lt;=Assumptions!$D$64,1,0)</f>
        <v>0</v>
      </c>
      <c r="K27" s="39">
        <f>IF(7&lt;=Assumptions!$D$64,1,0)</f>
        <v>0</v>
      </c>
      <c r="L27" s="39">
        <f>IF(8&lt;=Assumptions!$D$64,1,0)</f>
        <v>0</v>
      </c>
      <c r="M27" s="39">
        <f>IF(9&lt;=Assumptions!$D$64,1,0)</f>
        <v>0</v>
      </c>
      <c r="N27" s="39">
        <f>IF(10&lt;=Assumptions!$D$64,1,0)</f>
        <v>0</v>
      </c>
      <c r="O27" s="39">
        <f>IF(11&lt;=Assumptions!$D$64,1,0)</f>
        <v>0</v>
      </c>
      <c r="P27" s="39">
        <f>IF(12&lt;=Assumptions!$D$64,1,0)</f>
        <v>0</v>
      </c>
      <c r="Q27" s="39">
        <f>IF(13&lt;=Assumptions!$D$64,1,0)</f>
        <v>0</v>
      </c>
      <c r="R27" s="39">
        <f>IF(14&lt;=Assumptions!$D$64,1,0)</f>
        <v>0</v>
      </c>
      <c r="S27" s="39">
        <f>IF(15&lt;=Assumptions!$D$64,1,0)</f>
        <v>0</v>
      </c>
      <c r="T27" s="39">
        <f>IF(16&lt;=Assumptions!$D$64,1,0)</f>
        <v>0</v>
      </c>
      <c r="U27" s="39">
        <f>IF(17&lt;=Assumptions!$D$64,1,0)</f>
        <v>0</v>
      </c>
      <c r="V27" s="39">
        <f>IF(18&lt;=Assumptions!$D$64,1,0)</f>
        <v>0</v>
      </c>
      <c r="W27" s="39">
        <f>IF(19&lt;=Assumptions!$D$64,1,0)</f>
        <v>0</v>
      </c>
      <c r="X27" s="39">
        <f>IF(20&lt;=Assumptions!$D$64,1,0)</f>
        <v>0</v>
      </c>
    </row>
    <row r="28" spans="2:24" ht="13.5" customHeight="1" x14ac:dyDescent="0.25">
      <c r="B28" s="16" t="s">
        <v>137</v>
      </c>
      <c r="C28" s="17" t="s">
        <v>20</v>
      </c>
      <c r="E28" s="37">
        <f>IF(E27=1,0,MAX(0,E19-Debt!E29-E25))</f>
        <v>0</v>
      </c>
      <c r="F28" s="37">
        <f>IF(F27=1,0,MAX(0,F19-Debt!F29-F25))</f>
        <v>0</v>
      </c>
      <c r="G28" s="37">
        <f>IF(G27=1,0,MAX(0,G19-Debt!G29-G25))</f>
        <v>0</v>
      </c>
      <c r="H28" s="37">
        <f>IF(H27=1,0,MAX(0,H19-Debt!H29-H25))</f>
        <v>0</v>
      </c>
      <c r="I28" s="37">
        <f>IF(I27=1,0,MAX(0,I19-Debt!I29-I25))</f>
        <v>0</v>
      </c>
      <c r="J28" s="37">
        <f>IF(J27=1,0,MAX(0,J19-Debt!J29-J25))</f>
        <v>787431.21178013645</v>
      </c>
      <c r="K28" s="37">
        <f>IF(K27=1,0,MAX(0,K19-Debt!K29-K25))</f>
        <v>817872.13823450718</v>
      </c>
      <c r="L28" s="37">
        <f>IF(L27=1,0,MAX(0,L19-Debt!L29-L25))</f>
        <v>850640.70407054632</v>
      </c>
      <c r="M28" s="37">
        <f>IF(M27=1,0,MAX(0,M19-Debt!M29-M25))</f>
        <v>885952.51124132716</v>
      </c>
      <c r="N28" s="37">
        <f>IF(N27=1,0,MAX(0,N19-Debt!N29-N25))</f>
        <v>924043.65524938738</v>
      </c>
      <c r="O28" s="37">
        <f>IF(O27=1,0,MAX(0,O19-Debt!O29-O25))</f>
        <v>965172.67537725368</v>
      </c>
      <c r="P28" s="37">
        <f>IF(P27=1,0,MAX(0,P19-Debt!P29-P25))</f>
        <v>1009622.6903492574</v>
      </c>
      <c r="Q28" s="37">
        <f>IF(Q27=1,0,MAX(0,Q19-Debt!Q29-Q25))</f>
        <v>1057703.7370468285</v>
      </c>
      <c r="R28" s="37">
        <f>IF(R27=1,0,MAX(0,R19-Debt!R29-R25))</f>
        <v>1109755.3315737371</v>
      </c>
      <c r="S28" s="37">
        <f>IF(S27=1,0,MAX(0,S19-Debt!S29-S25))</f>
        <v>1171675.5757093064</v>
      </c>
      <c r="T28" s="37">
        <f>IF(T27=1,0,MAX(0,T19-Debt!T29-T25))</f>
        <v>1190729.7435902194</v>
      </c>
      <c r="U28" s="37">
        <f>IF(U27=1,0,MAX(0,U19-Debt!U29-U25))</f>
        <v>1210011.717801587</v>
      </c>
      <c r="V28" s="37">
        <f>IF(V27=1,0,MAX(0,V19-Debt!V29-V25))</f>
        <v>1229520.6897740662</v>
      </c>
      <c r="W28" s="37">
        <f>IF(W27=1,0,MAX(0,W19-Debt!W29-W25))</f>
        <v>1249255.6470025703</v>
      </c>
      <c r="X28" s="37">
        <f>IF(X27=1,0,MAX(0,X19-Debt!X29-X25))</f>
        <v>1269215.3623958007</v>
      </c>
    </row>
    <row r="29" spans="2:24" ht="13.5" customHeight="1" x14ac:dyDescent="0.25">
      <c r="B29" s="33" t="s">
        <v>138</v>
      </c>
      <c r="C29" s="17" t="s">
        <v>20</v>
      </c>
      <c r="E29" s="36">
        <f>-E28*(Assumptions!$D$62+Assumptions!$D$63)</f>
        <v>0</v>
      </c>
      <c r="F29" s="36">
        <f>-F28*(Assumptions!$D$62+Assumptions!$D$63)</f>
        <v>0</v>
      </c>
      <c r="G29" s="36">
        <f>-G28*(Assumptions!$D$62+Assumptions!$D$63)</f>
        <v>0</v>
      </c>
      <c r="H29" s="36">
        <f>-H28*(Assumptions!$D$62+Assumptions!$D$63)</f>
        <v>0</v>
      </c>
      <c r="I29" s="36">
        <f>-I28*(Assumptions!$D$62+Assumptions!$D$63)</f>
        <v>0</v>
      </c>
      <c r="J29" s="36">
        <f>-J28*(Assumptions!$D$62+Assumptions!$D$63)</f>
        <v>-259852.299887445</v>
      </c>
      <c r="K29" s="36">
        <f>-K28*(Assumptions!$D$62+Assumptions!$D$63)</f>
        <v>-269897.80561738735</v>
      </c>
      <c r="L29" s="36">
        <f>-L28*(Assumptions!$D$62+Assumptions!$D$63)</f>
        <v>-280711.43234328023</v>
      </c>
      <c r="M29" s="36">
        <f>-M28*(Assumptions!$D$62+Assumptions!$D$63)</f>
        <v>-292364.32870963792</v>
      </c>
      <c r="N29" s="36">
        <f>-N28*(Assumptions!$D$62+Assumptions!$D$63)</f>
        <v>-304934.40623229777</v>
      </c>
      <c r="O29" s="36">
        <f>-O28*(Assumptions!$D$62+Assumptions!$D$63)</f>
        <v>-318506.9828744937</v>
      </c>
      <c r="P29" s="36">
        <f>-P28*(Assumptions!$D$62+Assumptions!$D$63)</f>
        <v>-333175.48781525489</v>
      </c>
      <c r="Q29" s="36">
        <f>-Q28*(Assumptions!$D$62+Assumptions!$D$63)</f>
        <v>-349042.23322545335</v>
      </c>
      <c r="R29" s="36">
        <f>-R28*(Assumptions!$D$62+Assumptions!$D$63)</f>
        <v>-366219.25941933319</v>
      </c>
      <c r="S29" s="36">
        <f>-S28*(Assumptions!$D$62+Assumptions!$D$63)</f>
        <v>-386652.93998407107</v>
      </c>
      <c r="T29" s="36">
        <f>-T28*(Assumptions!$D$62+Assumptions!$D$63)</f>
        <v>-392940.81538477237</v>
      </c>
      <c r="U29" s="36">
        <f>-U28*(Assumptions!$D$62+Assumptions!$D$63)</f>
        <v>-399303.86687452364</v>
      </c>
      <c r="V29" s="36">
        <f>-V28*(Assumptions!$D$62+Assumptions!$D$63)</f>
        <v>-405741.82762544177</v>
      </c>
      <c r="W29" s="36">
        <f>-W28*(Assumptions!$D$62+Assumptions!$D$63)</f>
        <v>-412254.36351084814</v>
      </c>
      <c r="X29" s="36">
        <f>-X28*(Assumptions!$D$62+Assumptions!$D$63)</f>
        <v>-418841.06959061418</v>
      </c>
    </row>
    <row r="31" spans="2:24" ht="16.5" customHeight="1" x14ac:dyDescent="0.25">
      <c r="B31" s="14" t="s">
        <v>139</v>
      </c>
      <c r="C31" s="15"/>
      <c r="D31" s="15"/>
      <c r="E31" s="15"/>
      <c r="F31" s="15"/>
      <c r="G31" s="15"/>
      <c r="H31" s="15"/>
      <c r="I31" s="15"/>
      <c r="J31" s="15"/>
      <c r="K31" s="15"/>
      <c r="L31" s="15"/>
      <c r="M31" s="15"/>
      <c r="N31" s="15"/>
      <c r="O31" s="15"/>
      <c r="P31" s="15"/>
      <c r="Q31" s="15"/>
      <c r="R31" s="15"/>
      <c r="S31" s="15"/>
      <c r="T31" s="15"/>
      <c r="U31" s="15"/>
      <c r="V31" s="15"/>
      <c r="W31" s="15"/>
      <c r="X31" s="15"/>
    </row>
    <row r="32" spans="2:24" ht="13.5" customHeight="1" x14ac:dyDescent="0.25">
      <c r="B32" s="33" t="s">
        <v>140</v>
      </c>
      <c r="C32" s="17" t="s">
        <v>20</v>
      </c>
      <c r="E32" s="36">
        <f t="shared" ref="E32:X32" si="5">E19+E29</f>
        <v>1013401.625</v>
      </c>
      <c r="F32" s="36">
        <f t="shared" si="5"/>
        <v>1024267.14658125</v>
      </c>
      <c r="G32" s="36">
        <f t="shared" si="5"/>
        <v>1035158.9165449667</v>
      </c>
      <c r="H32" s="36">
        <f t="shared" si="5"/>
        <v>1046072.7588788157</v>
      </c>
      <c r="I32" s="36">
        <f t="shared" si="5"/>
        <v>1057004.2780972158</v>
      </c>
      <c r="J32" s="36">
        <f t="shared" si="5"/>
        <v>808096.55061735841</v>
      </c>
      <c r="K32" s="36">
        <f t="shared" si="5"/>
        <v>809003.80952155055</v>
      </c>
      <c r="L32" s="36">
        <f t="shared" si="5"/>
        <v>809146.03203651519</v>
      </c>
      <c r="M32" s="36">
        <f t="shared" si="5"/>
        <v>808446.70550655667</v>
      </c>
      <c r="N32" s="36">
        <f t="shared" si="5"/>
        <v>806822.28792258038</v>
      </c>
      <c r="O32" s="36">
        <f t="shared" si="5"/>
        <v>804181.55388605746</v>
      </c>
      <c r="P32" s="36">
        <f t="shared" si="5"/>
        <v>800424.8789982514</v>
      </c>
      <c r="Q32" s="36">
        <f t="shared" si="5"/>
        <v>795443.45684578433</v>
      </c>
      <c r="R32" s="36">
        <f t="shared" si="5"/>
        <v>789118.44220058993</v>
      </c>
      <c r="S32" s="36">
        <f t="shared" si="5"/>
        <v>785022.63572523533</v>
      </c>
      <c r="T32" s="36">
        <f t="shared" si="5"/>
        <v>797788.92820544704</v>
      </c>
      <c r="U32" s="36">
        <f t="shared" si="5"/>
        <v>810707.85092706326</v>
      </c>
      <c r="V32" s="36">
        <f t="shared" si="5"/>
        <v>823778.86214862438</v>
      </c>
      <c r="W32" s="36">
        <f t="shared" si="5"/>
        <v>837001.28349172219</v>
      </c>
      <c r="X32" s="36">
        <f t="shared" si="5"/>
        <v>850374.29280518647</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X36"/>
  <sheetViews>
    <sheetView showGridLines="0" topLeftCell="A27" zoomScaleNormal="100" workbookViewId="0">
      <selection activeCell="D41" sqref="D41"/>
    </sheetView>
  </sheetViews>
  <sheetFormatPr defaultColWidth="8.7109375" defaultRowHeight="15" x14ac:dyDescent="0.25"/>
  <cols>
    <col min="1" max="1" width="2" customWidth="1"/>
    <col min="2" max="2" width="44" customWidth="1"/>
    <col min="3" max="3" width="11" customWidth="1"/>
    <col min="4" max="4" width="15" customWidth="1"/>
    <col min="5" max="24" width="12" customWidth="1"/>
  </cols>
  <sheetData>
    <row r="2" spans="2:24" ht="19.5" x14ac:dyDescent="0.3">
      <c r="B2" s="11" t="s">
        <v>0</v>
      </c>
    </row>
    <row r="3" spans="2:24" x14ac:dyDescent="0.25">
      <c r="B3" s="12" t="s">
        <v>141</v>
      </c>
    </row>
    <row r="4" spans="2:24" x14ac:dyDescent="0.25">
      <c r="B4" s="13" t="s">
        <v>142</v>
      </c>
    </row>
    <row r="6" spans="2:24" ht="15.75" customHeight="1" x14ac:dyDescent="0.25">
      <c r="B6" s="40" t="s">
        <v>100</v>
      </c>
      <c r="C6" s="15"/>
      <c r="D6" s="30" t="s">
        <v>101</v>
      </c>
      <c r="E6" s="31" t="s">
        <v>102</v>
      </c>
      <c r="F6" s="31" t="s">
        <v>103</v>
      </c>
      <c r="G6" s="31" t="s">
        <v>104</v>
      </c>
      <c r="H6" s="31" t="s">
        <v>105</v>
      </c>
      <c r="I6" s="31" t="s">
        <v>106</v>
      </c>
      <c r="J6" s="31" t="s">
        <v>107</v>
      </c>
      <c r="K6" s="31" t="s">
        <v>108</v>
      </c>
      <c r="L6" s="31" t="s">
        <v>109</v>
      </c>
      <c r="M6" s="31" t="s">
        <v>110</v>
      </c>
      <c r="N6" s="31" t="s">
        <v>111</v>
      </c>
      <c r="O6" s="31" t="s">
        <v>112</v>
      </c>
      <c r="P6" s="31" t="s">
        <v>113</v>
      </c>
      <c r="Q6" s="31" t="s">
        <v>114</v>
      </c>
      <c r="R6" s="31" t="s">
        <v>115</v>
      </c>
      <c r="S6" s="31" t="s">
        <v>116</v>
      </c>
      <c r="T6" s="31" t="s">
        <v>117</v>
      </c>
      <c r="U6" s="31" t="s">
        <v>118</v>
      </c>
      <c r="V6" s="31" t="s">
        <v>119</v>
      </c>
      <c r="W6" s="31" t="s">
        <v>120</v>
      </c>
      <c r="X6" s="31" t="s">
        <v>121</v>
      </c>
    </row>
    <row r="7" spans="2:24" ht="13.5" customHeight="1" x14ac:dyDescent="0.25">
      <c r="B7" s="16" t="s">
        <v>143</v>
      </c>
      <c r="C7" s="17" t="s">
        <v>20</v>
      </c>
      <c r="D7" s="41">
        <f>Assumptions!$D$30</f>
        <v>5575500</v>
      </c>
    </row>
    <row r="8" spans="2:24" ht="13.5" customHeight="1" x14ac:dyDescent="0.25">
      <c r="B8" s="16" t="s">
        <v>144</v>
      </c>
      <c r="C8" s="17" t="s">
        <v>20</v>
      </c>
      <c r="D8" s="41">
        <f>D7*Assumptions!$D$52*Assumptions!$D$53*Assumptions!$D$58*0.5</f>
        <v>174791.92499999999</v>
      </c>
    </row>
    <row r="9" spans="2:24" ht="13.5" customHeight="1" x14ac:dyDescent="0.25">
      <c r="B9" s="16" t="s">
        <v>80</v>
      </c>
      <c r="C9" s="17" t="s">
        <v>20</v>
      </c>
      <c r="D9" s="41">
        <f>D7*Assumptions!$D$52*Assumptions!$D$56</f>
        <v>55197.45</v>
      </c>
    </row>
    <row r="10" spans="2:24" ht="13.5" customHeight="1" x14ac:dyDescent="0.25">
      <c r="B10" s="16" t="s">
        <v>145</v>
      </c>
      <c r="C10" s="17" t="s">
        <v>20</v>
      </c>
      <c r="D10" s="41">
        <f>E30*Assumptions!$D$57/12</f>
        <v>230425.2521212929</v>
      </c>
    </row>
    <row r="11" spans="2:24" ht="13.5" customHeight="1" x14ac:dyDescent="0.25">
      <c r="B11" s="16" t="s">
        <v>146</v>
      </c>
      <c r="C11" s="17" t="s">
        <v>20</v>
      </c>
      <c r="D11" s="41">
        <f>Assumptions!$D$59</f>
        <v>50000</v>
      </c>
    </row>
    <row r="12" spans="2:24" ht="13.5" customHeight="1" x14ac:dyDescent="0.25">
      <c r="B12" s="33" t="s">
        <v>147</v>
      </c>
      <c r="C12" s="17" t="s">
        <v>20</v>
      </c>
      <c r="D12" s="26">
        <f>SUM(D7:D11)</f>
        <v>6085914.627121293</v>
      </c>
    </row>
    <row r="14" spans="2:24" ht="13.5" customHeight="1" x14ac:dyDescent="0.25">
      <c r="B14" s="16" t="s">
        <v>148</v>
      </c>
      <c r="C14" s="17" t="s">
        <v>20</v>
      </c>
      <c r="D14" s="41">
        <f>Assumptions!$D$30*Assumptions!$D$52</f>
        <v>3679830</v>
      </c>
    </row>
    <row r="15" spans="2:24" ht="13.5" customHeight="1" x14ac:dyDescent="0.25">
      <c r="B15" s="16" t="s">
        <v>149</v>
      </c>
      <c r="C15" s="17" t="s">
        <v>20</v>
      </c>
      <c r="D15" s="41">
        <f>D12-D14</f>
        <v>2406084.627121293</v>
      </c>
    </row>
    <row r="16" spans="2:24" ht="13.5" customHeight="1" x14ac:dyDescent="0.25">
      <c r="B16" s="33" t="s">
        <v>150</v>
      </c>
      <c r="C16" s="17" t="s">
        <v>20</v>
      </c>
      <c r="D16" s="26">
        <f>D14+D15</f>
        <v>6085914.627121293</v>
      </c>
    </row>
    <row r="18" spans="2:24" ht="13.5" customHeight="1" x14ac:dyDescent="0.25">
      <c r="B18" s="16" t="s">
        <v>151</v>
      </c>
      <c r="C18" s="17" t="s">
        <v>30</v>
      </c>
      <c r="D18" s="42">
        <f>D14/D16</f>
        <v>0.60464699645985698</v>
      </c>
    </row>
    <row r="20" spans="2:24" ht="16.5" customHeight="1" x14ac:dyDescent="0.25">
      <c r="B20" s="14" t="s">
        <v>152</v>
      </c>
      <c r="C20" s="15"/>
      <c r="D20" s="15"/>
      <c r="E20" s="15"/>
      <c r="F20" s="15"/>
      <c r="G20" s="15"/>
      <c r="H20" s="15"/>
      <c r="I20" s="15"/>
      <c r="J20" s="15"/>
      <c r="K20" s="15"/>
      <c r="L20" s="15"/>
      <c r="M20" s="15"/>
      <c r="N20" s="15"/>
      <c r="O20" s="15"/>
      <c r="P20" s="15"/>
      <c r="Q20" s="15"/>
      <c r="R20" s="15"/>
      <c r="S20" s="15"/>
      <c r="T20" s="15"/>
      <c r="U20" s="15"/>
      <c r="V20" s="15"/>
      <c r="W20" s="15"/>
      <c r="X20" s="15"/>
    </row>
    <row r="21" spans="2:24" ht="13.5" customHeight="1" x14ac:dyDescent="0.25">
      <c r="B21" s="16" t="s">
        <v>153</v>
      </c>
      <c r="C21" s="17" t="s">
        <v>20</v>
      </c>
      <c r="E21" s="37">
        <f>IF(1&lt;=Assumptions!$D$54,Model!E19,0)</f>
        <v>1013401.625</v>
      </c>
      <c r="F21" s="37">
        <f>IF(2&lt;=Assumptions!$D$54,Model!F19,0)</f>
        <v>1024267.14658125</v>
      </c>
      <c r="G21" s="37">
        <f>IF(3&lt;=Assumptions!$D$54,Model!G19,0)</f>
        <v>1035158.9165449667</v>
      </c>
      <c r="H21" s="37">
        <f>IF(4&lt;=Assumptions!$D$54,Model!H19,0)</f>
        <v>1046072.7588788157</v>
      </c>
      <c r="I21" s="37">
        <f>IF(5&lt;=Assumptions!$D$54,Model!I19,0)</f>
        <v>1057004.2780972158</v>
      </c>
      <c r="J21" s="37">
        <f>IF(6&lt;=Assumptions!$D$54,Model!J19,0)</f>
        <v>1067948.8505048035</v>
      </c>
      <c r="K21" s="37">
        <f>IF(7&lt;=Assumptions!$D$54,Model!K19,0)</f>
        <v>1078901.615138938</v>
      </c>
      <c r="L21" s="37">
        <f>IF(8&lt;=Assumptions!$D$54,Model!L19,0)</f>
        <v>1089857.4643797954</v>
      </c>
      <c r="M21" s="37">
        <f>IF(9&lt;=Assumptions!$D$54,Model!M19,0)</f>
        <v>1100811.0342161946</v>
      </c>
      <c r="N21" s="37">
        <f>IF(10&lt;=Assumptions!$D$54,Model!N19,0)</f>
        <v>1111756.6941548781</v>
      </c>
      <c r="O21" s="37">
        <f>IF(11&lt;=Assumptions!$D$54,Model!O19,0)</f>
        <v>1122688.5367605512</v>
      </c>
      <c r="P21" s="37">
        <f>IF(12&lt;=Assumptions!$D$54,Model!P19,0)</f>
        <v>1133600.3668135062</v>
      </c>
      <c r="Q21" s="37">
        <f>IF(13&lt;=Assumptions!$D$54,Model!Q19,0)</f>
        <v>1144485.6900712377</v>
      </c>
      <c r="R21" s="37">
        <f>IF(14&lt;=Assumptions!$D$54,Model!R19,0)</f>
        <v>1155337.7016199231</v>
      </c>
      <c r="S21" s="37">
        <f>IF(15&lt;=Assumptions!$D$54,Model!S19,0)</f>
        <v>0</v>
      </c>
      <c r="T21" s="37">
        <f>IF(16&lt;=Assumptions!$D$54,Model!T19,0)</f>
        <v>0</v>
      </c>
      <c r="U21" s="37">
        <f>IF(17&lt;=Assumptions!$D$54,Model!U19,0)</f>
        <v>0</v>
      </c>
      <c r="V21" s="37">
        <f>IF(18&lt;=Assumptions!$D$54,Model!V19,0)</f>
        <v>0</v>
      </c>
      <c r="W21" s="37">
        <f>IF(19&lt;=Assumptions!$D$54,Model!W19,0)</f>
        <v>0</v>
      </c>
      <c r="X21" s="37">
        <f>IF(20&lt;=Assumptions!$D$54,Model!X19,0)</f>
        <v>0</v>
      </c>
    </row>
    <row r="22" spans="2:24" ht="13.5" customHeight="1" x14ac:dyDescent="0.25">
      <c r="B22" s="16" t="s">
        <v>154</v>
      </c>
      <c r="C22" s="17" t="s">
        <v>79</v>
      </c>
      <c r="E22" s="43">
        <f>IF(1&lt;=Assumptions!$D$54,1/(1+Assumptions!$D$53)^1,0)</f>
        <v>0.91324200913242015</v>
      </c>
      <c r="F22" s="43">
        <f>IF(2&lt;=Assumptions!$D$54,1/(1+Assumptions!$D$53)^2,0)</f>
        <v>0.8340109672442193</v>
      </c>
      <c r="G22" s="43">
        <f>IF(3&lt;=Assumptions!$D$54,1/(1+Assumptions!$D$53)^3,0)</f>
        <v>0.76165385136458386</v>
      </c>
      <c r="H22" s="43">
        <f>IF(4&lt;=Assumptions!$D$54,1/(1+Assumptions!$D$53)^4,0)</f>
        <v>0.6955742934836382</v>
      </c>
      <c r="I22" s="43">
        <f>IF(5&lt;=Assumptions!$D$54,1/(1+Assumptions!$D$53)^5,0)</f>
        <v>0.63522766528186136</v>
      </c>
      <c r="J22" s="43">
        <f>IF(6&lt;=Assumptions!$D$54,1/(1+Assumptions!$D$53)^6,0)</f>
        <v>0.58011658929850352</v>
      </c>
      <c r="K22" s="43">
        <f>IF(7&lt;=Assumptions!$D$54,1/(1+Assumptions!$D$53)^7,0)</f>
        <v>0.52978683954201233</v>
      </c>
      <c r="L22" s="43">
        <f>IF(8&lt;=Assumptions!$D$54,1/(1+Assumptions!$D$53)^8,0)</f>
        <v>0.4838235977552624</v>
      </c>
      <c r="M22" s="43">
        <f>IF(9&lt;=Assumptions!$D$54,1/(1+Assumptions!$D$53)^9,0)</f>
        <v>0.44184803447969173</v>
      </c>
      <c r="N22" s="43">
        <f>IF(10&lt;=Assumptions!$D$54,1/(1+Assumptions!$D$53)^10,0)</f>
        <v>0.40351418673944445</v>
      </c>
      <c r="O22" s="43">
        <f>IF(11&lt;=Assumptions!$D$54,1/(1+Assumptions!$D$53)^11,0)</f>
        <v>0.36850610661136479</v>
      </c>
      <c r="P22" s="43">
        <f>IF(12&lt;=Assumptions!$D$54,1/(1+Assumptions!$D$53)^12,0)</f>
        <v>0.33653525717932858</v>
      </c>
      <c r="Q22" s="43">
        <f>IF(13&lt;=Assumptions!$D$54,1/(1+Assumptions!$D$53)^13,0)</f>
        <v>0.30733813441034574</v>
      </c>
      <c r="R22" s="43">
        <f>IF(14&lt;=Assumptions!$D$54,1/(1+Assumptions!$D$53)^14,0)</f>
        <v>0.2806740953519139</v>
      </c>
      <c r="S22" s="43">
        <f>IF(15&lt;=Assumptions!$D$54,1/(1+Assumptions!$D$53)^15,0)</f>
        <v>0</v>
      </c>
      <c r="T22" s="43">
        <f>IF(16&lt;=Assumptions!$D$54,1/(1+Assumptions!$D$53)^16,0)</f>
        <v>0</v>
      </c>
      <c r="U22" s="43">
        <f>IF(17&lt;=Assumptions!$D$54,1/(1+Assumptions!$D$53)^17,0)</f>
        <v>0</v>
      </c>
      <c r="V22" s="43">
        <f>IF(18&lt;=Assumptions!$D$54,1/(1+Assumptions!$D$53)^18,0)</f>
        <v>0</v>
      </c>
      <c r="W22" s="43">
        <f>IF(19&lt;=Assumptions!$D$54,1/(1+Assumptions!$D$53)^19,0)</f>
        <v>0</v>
      </c>
      <c r="X22" s="43">
        <f>IF(20&lt;=Assumptions!$D$54,1/(1+Assumptions!$D$53)^20,0)</f>
        <v>0</v>
      </c>
    </row>
    <row r="23" spans="2:24" ht="13.5" customHeight="1" x14ac:dyDescent="0.25">
      <c r="B23" s="16" t="s">
        <v>155</v>
      </c>
      <c r="C23" s="17" t="s">
        <v>20</v>
      </c>
      <c r="E23" s="37">
        <f t="shared" ref="E23:X23" si="0">E21*E22</f>
        <v>925480.93607305945</v>
      </c>
      <c r="F23" s="37">
        <f t="shared" si="0"/>
        <v>854250.0336367049</v>
      </c>
      <c r="G23" s="37">
        <f t="shared" si="0"/>
        <v>788432.77556086378</v>
      </c>
      <c r="H23" s="37">
        <f t="shared" si="0"/>
        <v>727621.32018961245</v>
      </c>
      <c r="I23" s="37">
        <f t="shared" si="0"/>
        <v>671438.35976863373</v>
      </c>
      <c r="J23" s="37">
        <f t="shared" si="0"/>
        <v>619534.84470010397</v>
      </c>
      <c r="K23" s="37">
        <f t="shared" si="0"/>
        <v>571587.87686123047</v>
      </c>
      <c r="L23" s="37">
        <f t="shared" si="0"/>
        <v>527298.75945666037</v>
      </c>
      <c r="M23" s="37">
        <f t="shared" si="0"/>
        <v>486391.19180198229</v>
      </c>
      <c r="N23" s="37">
        <f t="shared" si="0"/>
        <v>448609.59829403891</v>
      </c>
      <c r="O23" s="37">
        <f t="shared" si="0"/>
        <v>413717.58161884081</v>
      </c>
      <c r="P23" s="37">
        <f t="shared" si="0"/>
        <v>381496.49098416453</v>
      </c>
      <c r="Q23" s="37">
        <f t="shared" si="0"/>
        <v>351744.09684583137</v>
      </c>
      <c r="R23" s="37">
        <f t="shared" si="0"/>
        <v>324273.36422813137</v>
      </c>
      <c r="S23" s="37">
        <f t="shared" si="0"/>
        <v>0</v>
      </c>
      <c r="T23" s="37">
        <f t="shared" si="0"/>
        <v>0</v>
      </c>
      <c r="U23" s="37">
        <f t="shared" si="0"/>
        <v>0</v>
      </c>
      <c r="V23" s="37">
        <f t="shared" si="0"/>
        <v>0</v>
      </c>
      <c r="W23" s="37">
        <f t="shared" si="0"/>
        <v>0</v>
      </c>
      <c r="X23" s="37">
        <f t="shared" si="0"/>
        <v>0</v>
      </c>
    </row>
    <row r="24" spans="2:24" ht="13.5" customHeight="1" x14ac:dyDescent="0.25">
      <c r="B24" s="16" t="s">
        <v>156</v>
      </c>
      <c r="C24" s="17" t="s">
        <v>20</v>
      </c>
      <c r="D24" s="41">
        <f>SUM(E23:X23)</f>
        <v>8091877.2300198581</v>
      </c>
    </row>
    <row r="25" spans="2:24" ht="13.5" customHeight="1" x14ac:dyDescent="0.25">
      <c r="B25" s="16" t="s">
        <v>157</v>
      </c>
      <c r="C25" s="17" t="s">
        <v>79</v>
      </c>
      <c r="D25" s="44">
        <f>D14/D24</f>
        <v>0.45475603440302931</v>
      </c>
    </row>
    <row r="27" spans="2:24" ht="16.5" customHeight="1" x14ac:dyDescent="0.25">
      <c r="B27" s="14" t="s">
        <v>158</v>
      </c>
      <c r="C27" s="15"/>
      <c r="D27" s="15"/>
      <c r="E27" s="15"/>
      <c r="F27" s="15"/>
      <c r="G27" s="15"/>
      <c r="H27" s="15"/>
      <c r="I27" s="15"/>
      <c r="J27" s="15"/>
      <c r="K27" s="15"/>
      <c r="L27" s="15"/>
      <c r="M27" s="15"/>
      <c r="N27" s="15"/>
      <c r="O27" s="15"/>
      <c r="P27" s="15"/>
      <c r="Q27" s="15"/>
      <c r="R27" s="15"/>
      <c r="S27" s="15"/>
      <c r="T27" s="15"/>
      <c r="U27" s="15"/>
      <c r="V27" s="15"/>
      <c r="W27" s="15"/>
      <c r="X27" s="15"/>
    </row>
    <row r="28" spans="2:24" ht="13.5" customHeight="1" x14ac:dyDescent="0.25">
      <c r="B28" s="16" t="s">
        <v>159</v>
      </c>
      <c r="C28" s="17" t="s">
        <v>20</v>
      </c>
      <c r="E28" s="37">
        <f>$D$14</f>
        <v>3679830</v>
      </c>
      <c r="F28" s="37">
        <f t="shared" ref="F28:X28" si="1">E32</f>
        <v>3568563.3457574141</v>
      </c>
      <c r="G28" s="37">
        <f t="shared" si="1"/>
        <v>3441785.1978557729</v>
      </c>
      <c r="H28" s="37">
        <f t="shared" si="1"/>
        <v>3298010.0277871462</v>
      </c>
      <c r="I28" s="37">
        <f t="shared" si="1"/>
        <v>3135613.0809021587</v>
      </c>
      <c r="J28" s="37">
        <f t="shared" si="1"/>
        <v>2952817.2497333372</v>
      </c>
      <c r="K28" s="37">
        <f t="shared" si="1"/>
        <v>2747678.704257166</v>
      </c>
      <c r="L28" s="37">
        <f t="shared" si="1"/>
        <v>2518071.1611499898</v>
      </c>
      <c r="M28" s="37">
        <f t="shared" si="1"/>
        <v>2261668.6628933423</v>
      </c>
      <c r="N28" s="37">
        <f t="shared" si="1"/>
        <v>1975926.7253209557</v>
      </c>
      <c r="O28" s="37">
        <f t="shared" si="1"/>
        <v>1658061.6987715526</v>
      </c>
      <c r="P28" s="37">
        <f t="shared" si="1"/>
        <v>1305028.1733078822</v>
      </c>
      <c r="Q28" s="37">
        <f t="shared" si="1"/>
        <v>913494.24236220145</v>
      </c>
      <c r="R28" s="37">
        <f t="shared" si="1"/>
        <v>479814.42153880006</v>
      </c>
      <c r="S28" s="37">
        <f t="shared" si="1"/>
        <v>0</v>
      </c>
      <c r="T28" s="37">
        <f t="shared" si="1"/>
        <v>0</v>
      </c>
      <c r="U28" s="37">
        <f t="shared" si="1"/>
        <v>0</v>
      </c>
      <c r="V28" s="37">
        <f t="shared" si="1"/>
        <v>0</v>
      </c>
      <c r="W28" s="37">
        <f t="shared" si="1"/>
        <v>0</v>
      </c>
      <c r="X28" s="37">
        <f t="shared" si="1"/>
        <v>0</v>
      </c>
    </row>
    <row r="29" spans="2:24" ht="13.5" customHeight="1" x14ac:dyDescent="0.25">
      <c r="B29" s="16" t="s">
        <v>160</v>
      </c>
      <c r="C29" s="17" t="s">
        <v>20</v>
      </c>
      <c r="E29" s="37">
        <f>E28*Assumptions!$D$53</f>
        <v>349583.85</v>
      </c>
      <c r="F29" s="37">
        <f>F28*Assumptions!$D$53</f>
        <v>339013.51784695435</v>
      </c>
      <c r="G29" s="37">
        <f>G28*Assumptions!$D$53</f>
        <v>326969.59379629843</v>
      </c>
      <c r="H29" s="37">
        <f>H28*Assumptions!$D$53</f>
        <v>313310.9526397789</v>
      </c>
      <c r="I29" s="37">
        <f>I28*Assumptions!$D$53</f>
        <v>297883.24268570507</v>
      </c>
      <c r="J29" s="37">
        <f>J28*Assumptions!$D$53</f>
        <v>280517.63872466702</v>
      </c>
      <c r="K29" s="37">
        <f>K28*Assumptions!$D$53</f>
        <v>261029.47690443078</v>
      </c>
      <c r="L29" s="37">
        <f>L28*Assumptions!$D$53</f>
        <v>239216.76030924905</v>
      </c>
      <c r="M29" s="37">
        <f>M28*Assumptions!$D$53</f>
        <v>214858.52297486752</v>
      </c>
      <c r="N29" s="37">
        <f>N28*Assumptions!$D$53</f>
        <v>187713.0389054908</v>
      </c>
      <c r="O29" s="37">
        <f>O28*Assumptions!$D$53</f>
        <v>157515.86138329751</v>
      </c>
      <c r="P29" s="37">
        <f>P28*Assumptions!$D$53</f>
        <v>123977.67646424881</v>
      </c>
      <c r="Q29" s="37">
        <f>Q28*Assumptions!$D$53</f>
        <v>86781.953024409144</v>
      </c>
      <c r="R29" s="37">
        <f>R28*Assumptions!$D$53</f>
        <v>45582.370046186006</v>
      </c>
      <c r="S29" s="37">
        <f>S28*Assumptions!$D$53</f>
        <v>0</v>
      </c>
      <c r="T29" s="37">
        <f>T28*Assumptions!$D$53</f>
        <v>0</v>
      </c>
      <c r="U29" s="37">
        <f>U28*Assumptions!$D$53</f>
        <v>0</v>
      </c>
      <c r="V29" s="37">
        <f>V28*Assumptions!$D$53</f>
        <v>0</v>
      </c>
      <c r="W29" s="37">
        <f>W28*Assumptions!$D$53</f>
        <v>0</v>
      </c>
      <c r="X29" s="37">
        <f>X28*Assumptions!$D$53</f>
        <v>0</v>
      </c>
    </row>
    <row r="30" spans="2:24" ht="13.5" customHeight="1" x14ac:dyDescent="0.25">
      <c r="B30" s="33" t="s">
        <v>161</v>
      </c>
      <c r="C30" s="17" t="s">
        <v>20</v>
      </c>
      <c r="E30" s="36">
        <f>IF(1&lt;=Assumptions!$D$54,E21*$D$25,0)</f>
        <v>460850.5042425858</v>
      </c>
      <c r="F30" s="36">
        <f>IF(2&lt;=Assumptions!$D$54,F21*$D$25,0)</f>
        <v>465791.66574859561</v>
      </c>
      <c r="G30" s="36">
        <f>IF(3&lt;=Assumptions!$D$54,G21*$D$25,0)</f>
        <v>470744.76386492542</v>
      </c>
      <c r="H30" s="36">
        <f>IF(4&lt;=Assumptions!$D$54,H21*$D$25,0)</f>
        <v>475707.89952476649</v>
      </c>
      <c r="I30" s="36">
        <f>IF(5&lt;=Assumptions!$D$54,I21*$D$25,0)</f>
        <v>480679.07385452662</v>
      </c>
      <c r="J30" s="36">
        <f>IF(6&lt;=Assumptions!$D$54,J21*$D$25,0)</f>
        <v>485656.18420083803</v>
      </c>
      <c r="K30" s="36">
        <f>IF(7&lt;=Assumptions!$D$54,K21*$D$25,0)</f>
        <v>490637.02001160674</v>
      </c>
      <c r="L30" s="36">
        <f>IF(8&lt;=Assumptions!$D$54,L21*$D$25,0)</f>
        <v>495619.25856589648</v>
      </c>
      <c r="M30" s="36">
        <f>IF(9&lt;=Assumptions!$D$54,M21*$D$25,0)</f>
        <v>500600.46054725407</v>
      </c>
      <c r="N30" s="36">
        <f>IF(10&lt;=Assumptions!$D$54,N21*$D$25,0)</f>
        <v>505578.06545489392</v>
      </c>
      <c r="O30" s="36">
        <f>IF(11&lt;=Assumptions!$D$54,O21*$D$25,0)</f>
        <v>510549.38684696786</v>
      </c>
      <c r="P30" s="36">
        <f>IF(12&lt;=Assumptions!$D$54,P21*$D$25,0)</f>
        <v>515511.60740992951</v>
      </c>
      <c r="Q30" s="36">
        <f>IF(13&lt;=Assumptions!$D$54,Q21*$D$25,0)</f>
        <v>520461.77384781052</v>
      </c>
      <c r="R30" s="36">
        <f>IF(14&lt;=Assumptions!$D$54,R21*$D$25,0)</f>
        <v>525396.79158498661</v>
      </c>
      <c r="S30" s="36">
        <f>IF(15&lt;=Assumptions!$D$54,S21*$D$25,0)</f>
        <v>0</v>
      </c>
      <c r="T30" s="36">
        <f>IF(16&lt;=Assumptions!$D$54,T21*$D$25,0)</f>
        <v>0</v>
      </c>
      <c r="U30" s="36">
        <f>IF(17&lt;=Assumptions!$D$54,U21*$D$25,0)</f>
        <v>0</v>
      </c>
      <c r="V30" s="36">
        <f>IF(18&lt;=Assumptions!$D$54,V21*$D$25,0)</f>
        <v>0</v>
      </c>
      <c r="W30" s="36">
        <f>IF(19&lt;=Assumptions!$D$54,W21*$D$25,0)</f>
        <v>0</v>
      </c>
      <c r="X30" s="36">
        <f>IF(20&lt;=Assumptions!$D$54,X21*$D$25,0)</f>
        <v>0</v>
      </c>
    </row>
    <row r="31" spans="2:24" ht="13.5" customHeight="1" x14ac:dyDescent="0.25">
      <c r="B31" s="16" t="s">
        <v>162</v>
      </c>
      <c r="C31" s="17" t="s">
        <v>20</v>
      </c>
      <c r="E31" s="37">
        <f t="shared" ref="E31:X31" si="2">MIN(E28,E30-E29)</f>
        <v>111266.65424258582</v>
      </c>
      <c r="F31" s="37">
        <f t="shared" si="2"/>
        <v>126778.14790164126</v>
      </c>
      <c r="G31" s="37">
        <f t="shared" si="2"/>
        <v>143775.17006862699</v>
      </c>
      <c r="H31" s="37">
        <f t="shared" si="2"/>
        <v>162396.94688498758</v>
      </c>
      <c r="I31" s="37">
        <f t="shared" si="2"/>
        <v>182795.83116882155</v>
      </c>
      <c r="J31" s="37">
        <f t="shared" si="2"/>
        <v>205138.54547617101</v>
      </c>
      <c r="K31" s="37">
        <f t="shared" si="2"/>
        <v>229607.54310717597</v>
      </c>
      <c r="L31" s="37">
        <f t="shared" si="2"/>
        <v>256402.49825664744</v>
      </c>
      <c r="M31" s="37">
        <f t="shared" si="2"/>
        <v>285741.93757238658</v>
      </c>
      <c r="N31" s="37">
        <f t="shared" si="2"/>
        <v>317865.02654940309</v>
      </c>
      <c r="O31" s="37">
        <f t="shared" si="2"/>
        <v>353033.52546367038</v>
      </c>
      <c r="P31" s="37">
        <f t="shared" si="2"/>
        <v>391533.93094568071</v>
      </c>
      <c r="Q31" s="37">
        <f t="shared" si="2"/>
        <v>433679.82082340139</v>
      </c>
      <c r="R31" s="37">
        <f t="shared" si="2"/>
        <v>479814.42153880006</v>
      </c>
      <c r="S31" s="37">
        <f t="shared" si="2"/>
        <v>0</v>
      </c>
      <c r="T31" s="37">
        <f t="shared" si="2"/>
        <v>0</v>
      </c>
      <c r="U31" s="37">
        <f t="shared" si="2"/>
        <v>0</v>
      </c>
      <c r="V31" s="37">
        <f t="shared" si="2"/>
        <v>0</v>
      </c>
      <c r="W31" s="37">
        <f t="shared" si="2"/>
        <v>0</v>
      </c>
      <c r="X31" s="37">
        <f t="shared" si="2"/>
        <v>0</v>
      </c>
    </row>
    <row r="32" spans="2:24" ht="13.5" customHeight="1" x14ac:dyDescent="0.25">
      <c r="B32" s="33" t="s">
        <v>163</v>
      </c>
      <c r="C32" s="17" t="s">
        <v>20</v>
      </c>
      <c r="E32" s="36">
        <f t="shared" ref="E32:X32" si="3">E28-E31</f>
        <v>3568563.3457574141</v>
      </c>
      <c r="F32" s="36">
        <f t="shared" si="3"/>
        <v>3441785.1978557729</v>
      </c>
      <c r="G32" s="36">
        <f t="shared" si="3"/>
        <v>3298010.0277871462</v>
      </c>
      <c r="H32" s="36">
        <f t="shared" si="3"/>
        <v>3135613.0809021587</v>
      </c>
      <c r="I32" s="36">
        <f t="shared" si="3"/>
        <v>2952817.2497333372</v>
      </c>
      <c r="J32" s="36">
        <f t="shared" si="3"/>
        <v>2747678.704257166</v>
      </c>
      <c r="K32" s="36">
        <f t="shared" si="3"/>
        <v>2518071.1611499898</v>
      </c>
      <c r="L32" s="36">
        <f t="shared" si="3"/>
        <v>2261668.6628933423</v>
      </c>
      <c r="M32" s="36">
        <f t="shared" si="3"/>
        <v>1975926.7253209557</v>
      </c>
      <c r="N32" s="36">
        <f t="shared" si="3"/>
        <v>1658061.6987715526</v>
      </c>
      <c r="O32" s="36">
        <f t="shared" si="3"/>
        <v>1305028.1733078822</v>
      </c>
      <c r="P32" s="36">
        <f t="shared" si="3"/>
        <v>913494.24236220145</v>
      </c>
      <c r="Q32" s="36">
        <f t="shared" si="3"/>
        <v>479814.42153880006</v>
      </c>
      <c r="R32" s="36">
        <f t="shared" si="3"/>
        <v>0</v>
      </c>
      <c r="S32" s="36">
        <f t="shared" si="3"/>
        <v>0</v>
      </c>
      <c r="T32" s="36">
        <f t="shared" si="3"/>
        <v>0</v>
      </c>
      <c r="U32" s="36">
        <f t="shared" si="3"/>
        <v>0</v>
      </c>
      <c r="V32" s="36">
        <f t="shared" si="3"/>
        <v>0</v>
      </c>
      <c r="W32" s="36">
        <f t="shared" si="3"/>
        <v>0</v>
      </c>
      <c r="X32" s="36">
        <f t="shared" si="3"/>
        <v>0</v>
      </c>
    </row>
    <row r="34" spans="2:24" ht="16.5" customHeight="1" x14ac:dyDescent="0.25">
      <c r="B34" s="14" t="s">
        <v>164</v>
      </c>
      <c r="C34" s="15"/>
      <c r="D34" s="15"/>
      <c r="E34" s="15"/>
      <c r="F34" s="15"/>
      <c r="G34" s="15"/>
      <c r="H34" s="15"/>
      <c r="I34" s="15"/>
      <c r="J34" s="15"/>
      <c r="K34" s="15"/>
      <c r="L34" s="15"/>
      <c r="M34" s="15"/>
      <c r="N34" s="15"/>
      <c r="O34" s="15"/>
      <c r="P34" s="15"/>
      <c r="Q34" s="15"/>
      <c r="R34" s="15"/>
      <c r="S34" s="15"/>
      <c r="T34" s="15"/>
      <c r="U34" s="15"/>
      <c r="V34" s="15"/>
      <c r="W34" s="15"/>
      <c r="X34" s="15"/>
    </row>
    <row r="35" spans="2:24" ht="13.5" customHeight="1" x14ac:dyDescent="0.25">
      <c r="B35" s="16" t="s">
        <v>165</v>
      </c>
      <c r="C35" s="17" t="s">
        <v>20</v>
      </c>
      <c r="E35" s="37">
        <f>IF(E32&gt;0,F30*Assumptions!$D$57/12,0)</f>
        <v>232895.83287429778</v>
      </c>
      <c r="F35" s="37">
        <f>IF(F32&gt;0,G30*Assumptions!$D$57/12,0)</f>
        <v>235372.38193246271</v>
      </c>
      <c r="G35" s="37">
        <f>IF(G32&gt;0,H30*Assumptions!$D$57/12,0)</f>
        <v>237853.94976238324</v>
      </c>
      <c r="H35" s="37">
        <f>IF(H32&gt;0,I30*Assumptions!$D$57/12,0)</f>
        <v>240339.53692726334</v>
      </c>
      <c r="I35" s="37">
        <f>IF(I32&gt;0,J30*Assumptions!$D$57/12,0)</f>
        <v>242828.09210041902</v>
      </c>
      <c r="J35" s="37">
        <f>IF(J32&gt;0,K30*Assumptions!$D$57/12,0)</f>
        <v>245318.5100058034</v>
      </c>
      <c r="K35" s="37">
        <f>IF(K32&gt;0,L30*Assumptions!$D$57/12,0)</f>
        <v>247809.62928294824</v>
      </c>
      <c r="L35" s="37">
        <f>IF(L32&gt;0,M30*Assumptions!$D$57/12,0)</f>
        <v>250300.23027362706</v>
      </c>
      <c r="M35" s="37">
        <f>IF(M32&gt;0,N30*Assumptions!$D$57/12,0)</f>
        <v>252789.03272744696</v>
      </c>
      <c r="N35" s="37">
        <f>IF(N32&gt;0,O30*Assumptions!$D$57/12,0)</f>
        <v>255274.6934234839</v>
      </c>
      <c r="O35" s="37">
        <f>IF(O32&gt;0,P30*Assumptions!$D$57/12,0)</f>
        <v>257755.80370496478</v>
      </c>
      <c r="P35" s="37">
        <f>IF(P32&gt;0,Q30*Assumptions!$D$57/12,0)</f>
        <v>260230.88692390526</v>
      </c>
      <c r="Q35" s="37">
        <f>IF(Q32&gt;0,R30*Assumptions!$D$57/12,0)</f>
        <v>262698.39579249331</v>
      </c>
      <c r="R35" s="37">
        <f>IF(R32&gt;0,S30*Assumptions!$D$57/12,0)</f>
        <v>0</v>
      </c>
      <c r="S35" s="37">
        <f>IF(S32&gt;0,T30*Assumptions!$D$57/12,0)</f>
        <v>0</v>
      </c>
      <c r="T35" s="37">
        <f>IF(T32&gt;0,U30*Assumptions!$D$57/12,0)</f>
        <v>0</v>
      </c>
      <c r="U35" s="37">
        <f>IF(U32&gt;0,V30*Assumptions!$D$57/12,0)</f>
        <v>0</v>
      </c>
      <c r="V35" s="37">
        <f>IF(V32&gt;0,W30*Assumptions!$D$57/12,0)</f>
        <v>0</v>
      </c>
      <c r="W35" s="37">
        <f>IF(W32&gt;0,X30*Assumptions!$D$57/12,0)</f>
        <v>0</v>
      </c>
      <c r="X35" s="37">
        <v>0</v>
      </c>
    </row>
    <row r="36" spans="2:24" ht="13.5" customHeight="1" x14ac:dyDescent="0.25">
      <c r="B36" s="16" t="s">
        <v>166</v>
      </c>
      <c r="C36" s="17" t="s">
        <v>20</v>
      </c>
      <c r="E36" s="37">
        <f>E35-$D$10</f>
        <v>2470.5807530048769</v>
      </c>
      <c r="F36" s="37">
        <f t="shared" ref="F36:X36" si="4">F35-E35</f>
        <v>2476.5490581649356</v>
      </c>
      <c r="G36" s="37">
        <f t="shared" si="4"/>
        <v>2481.5678299205319</v>
      </c>
      <c r="H36" s="37">
        <f t="shared" si="4"/>
        <v>2485.5871648800967</v>
      </c>
      <c r="I36" s="37">
        <f t="shared" si="4"/>
        <v>2488.555173155677</v>
      </c>
      <c r="J36" s="37">
        <f t="shared" si="4"/>
        <v>2490.4179053843836</v>
      </c>
      <c r="K36" s="37">
        <f t="shared" si="4"/>
        <v>2491.1192771448405</v>
      </c>
      <c r="L36" s="37">
        <f t="shared" si="4"/>
        <v>2490.600990678824</v>
      </c>
      <c r="M36" s="37">
        <f t="shared" si="4"/>
        <v>2488.8024538198952</v>
      </c>
      <c r="N36" s="37">
        <f t="shared" si="4"/>
        <v>2485.660696036939</v>
      </c>
      <c r="O36" s="37">
        <f t="shared" si="4"/>
        <v>2481.1102814808837</v>
      </c>
      <c r="P36" s="37">
        <f t="shared" si="4"/>
        <v>2475.0832189404755</v>
      </c>
      <c r="Q36" s="37">
        <f t="shared" si="4"/>
        <v>2467.5088685880473</v>
      </c>
      <c r="R36" s="37">
        <f t="shared" si="4"/>
        <v>-262698.39579249331</v>
      </c>
      <c r="S36" s="37">
        <f t="shared" si="4"/>
        <v>0</v>
      </c>
      <c r="T36" s="37">
        <f t="shared" si="4"/>
        <v>0</v>
      </c>
      <c r="U36" s="37">
        <f t="shared" si="4"/>
        <v>0</v>
      </c>
      <c r="V36" s="37">
        <f t="shared" si="4"/>
        <v>0</v>
      </c>
      <c r="W36" s="37">
        <f t="shared" si="4"/>
        <v>0</v>
      </c>
      <c r="X36" s="37">
        <f t="shared" si="4"/>
        <v>0</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X36"/>
  <sheetViews>
    <sheetView showGridLines="0" topLeftCell="A2" zoomScaleNormal="100" workbookViewId="0">
      <selection activeCell="H3" sqref="H3"/>
    </sheetView>
  </sheetViews>
  <sheetFormatPr defaultColWidth="8.7109375" defaultRowHeight="15" x14ac:dyDescent="0.25"/>
  <cols>
    <col min="1" max="1" width="2" customWidth="1"/>
    <col min="2" max="2" width="44" customWidth="1"/>
    <col min="3" max="3" width="11" customWidth="1"/>
    <col min="4" max="24" width="12" customWidth="1"/>
  </cols>
  <sheetData>
    <row r="2" spans="2:24" ht="19.5" x14ac:dyDescent="0.3">
      <c r="B2" s="11" t="s">
        <v>0</v>
      </c>
    </row>
    <row r="3" spans="2:24" x14ac:dyDescent="0.25">
      <c r="B3" s="12" t="s">
        <v>167</v>
      </c>
    </row>
    <row r="4" spans="2:24" x14ac:dyDescent="0.25">
      <c r="B4" s="13" t="s">
        <v>168</v>
      </c>
    </row>
    <row r="6" spans="2:24" ht="15.75" customHeight="1" x14ac:dyDescent="0.25">
      <c r="B6" s="29" t="s">
        <v>100</v>
      </c>
      <c r="D6" s="30" t="s">
        <v>101</v>
      </c>
      <c r="E6" s="31" t="s">
        <v>102</v>
      </c>
      <c r="F6" s="31" t="s">
        <v>103</v>
      </c>
      <c r="G6" s="31" t="s">
        <v>104</v>
      </c>
      <c r="H6" s="31" t="s">
        <v>105</v>
      </c>
      <c r="I6" s="31" t="s">
        <v>106</v>
      </c>
      <c r="J6" s="31" t="s">
        <v>107</v>
      </c>
      <c r="K6" s="31" t="s">
        <v>108</v>
      </c>
      <c r="L6" s="31" t="s">
        <v>109</v>
      </c>
      <c r="M6" s="31" t="s">
        <v>110</v>
      </c>
      <c r="N6" s="31" t="s">
        <v>111</v>
      </c>
      <c r="O6" s="31" t="s">
        <v>112</v>
      </c>
      <c r="P6" s="31" t="s">
        <v>113</v>
      </c>
      <c r="Q6" s="31" t="s">
        <v>114</v>
      </c>
      <c r="R6" s="31" t="s">
        <v>115</v>
      </c>
      <c r="S6" s="31" t="s">
        <v>116</v>
      </c>
      <c r="T6" s="31" t="s">
        <v>117</v>
      </c>
      <c r="U6" s="31" t="s">
        <v>118</v>
      </c>
      <c r="V6" s="31" t="s">
        <v>119</v>
      </c>
      <c r="W6" s="31" t="s">
        <v>120</v>
      </c>
      <c r="X6" s="31" t="s">
        <v>121</v>
      </c>
    </row>
    <row r="8" spans="2:24" ht="16.5" customHeight="1" x14ac:dyDescent="0.25">
      <c r="B8" s="14" t="s">
        <v>169</v>
      </c>
      <c r="C8" s="15"/>
      <c r="D8" s="15"/>
      <c r="E8" s="15"/>
      <c r="F8" s="15"/>
      <c r="G8" s="15"/>
      <c r="H8" s="15"/>
      <c r="I8" s="15"/>
      <c r="J8" s="15"/>
      <c r="K8" s="15"/>
      <c r="L8" s="15"/>
      <c r="M8" s="15"/>
      <c r="N8" s="15"/>
      <c r="O8" s="15"/>
      <c r="P8" s="15"/>
      <c r="Q8" s="15"/>
      <c r="R8" s="15"/>
      <c r="S8" s="15"/>
      <c r="T8" s="15"/>
      <c r="U8" s="15"/>
      <c r="V8" s="15"/>
      <c r="W8" s="15"/>
      <c r="X8" s="15"/>
    </row>
    <row r="9" spans="2:24" ht="13.5" customHeight="1" x14ac:dyDescent="0.25">
      <c r="B9" s="16" t="s">
        <v>170</v>
      </c>
      <c r="C9" s="17" t="s">
        <v>20</v>
      </c>
      <c r="E9" s="45">
        <f>Model!E15</f>
        <v>1193766.875</v>
      </c>
      <c r="F9" s="45">
        <f>Model!F15</f>
        <v>1210945.18033125</v>
      </c>
      <c r="G9" s="45">
        <f>Model!G15</f>
        <v>1228370.6814762168</v>
      </c>
      <c r="H9" s="45">
        <f>Model!H15</f>
        <v>1246046.9355826594</v>
      </c>
      <c r="I9" s="45">
        <f>Model!I15</f>
        <v>1263977.5509856939</v>
      </c>
      <c r="J9" s="45">
        <f>Model!J15</f>
        <v>1282166.1879443785</v>
      </c>
      <c r="K9" s="45">
        <f>Model!K15</f>
        <v>1300616.5593888981</v>
      </c>
      <c r="L9" s="45">
        <f>Model!L15</f>
        <v>1319332.431678504</v>
      </c>
      <c r="M9" s="45">
        <f>Model!M15</f>
        <v>1338317.6253703581</v>
      </c>
      <c r="N9" s="45">
        <f>Model!N15</f>
        <v>1357576.0159994373</v>
      </c>
      <c r="O9" s="45">
        <f>Model!O15</f>
        <v>1377111.5348696697</v>
      </c>
      <c r="P9" s="45">
        <f>Model!P15</f>
        <v>1396928.169856444</v>
      </c>
      <c r="Q9" s="45">
        <f>Model!Q15</f>
        <v>1417029.9662206783</v>
      </c>
      <c r="R9" s="45">
        <f>Model!R15</f>
        <v>1437421.027434594</v>
      </c>
      <c r="S9" s="45">
        <f>Model!S15</f>
        <v>1463631.8179274909</v>
      </c>
      <c r="T9" s="45">
        <f>Model!T15</f>
        <v>1492904.4542860403</v>
      </c>
      <c r="U9" s="45">
        <f>Model!U15</f>
        <v>1522762.5433717615</v>
      </c>
      <c r="V9" s="45">
        <f>Model!V15</f>
        <v>1553217.7942391969</v>
      </c>
      <c r="W9" s="45">
        <f>Model!W15</f>
        <v>1584282.1501239806</v>
      </c>
      <c r="X9" s="45">
        <f>Model!X15</f>
        <v>1615967.7931264602</v>
      </c>
    </row>
    <row r="10" spans="2:24" ht="13.5" customHeight="1" x14ac:dyDescent="0.25">
      <c r="B10" s="16" t="s">
        <v>171</v>
      </c>
      <c r="C10" s="17" t="s">
        <v>20</v>
      </c>
      <c r="E10" s="45">
        <f>Model!E18</f>
        <v>-180365.25</v>
      </c>
      <c r="F10" s="45">
        <f>Model!F18</f>
        <v>-186678.03374999997</v>
      </c>
      <c r="G10" s="45">
        <f>Model!G18</f>
        <v>-193211.76493124999</v>
      </c>
      <c r="H10" s="45">
        <f>Model!H18</f>
        <v>-199974.1767038437</v>
      </c>
      <c r="I10" s="45">
        <f>Model!I18</f>
        <v>-206973.27288847821</v>
      </c>
      <c r="J10" s="45">
        <f>Model!J18</f>
        <v>-214217.33743957494</v>
      </c>
      <c r="K10" s="45">
        <f>Model!K18</f>
        <v>-221714.94424996007</v>
      </c>
      <c r="L10" s="45">
        <f>Model!L18</f>
        <v>-229474.96729870865</v>
      </c>
      <c r="M10" s="45">
        <f>Model!M18</f>
        <v>-237506.59115416341</v>
      </c>
      <c r="N10" s="45">
        <f>Model!N18</f>
        <v>-245819.32184455908</v>
      </c>
      <c r="O10" s="45">
        <f>Model!O18</f>
        <v>-254422.99810911863</v>
      </c>
      <c r="P10" s="45">
        <f>Model!P18</f>
        <v>-263327.80304293783</v>
      </c>
      <c r="Q10" s="45">
        <f>Model!Q18</f>
        <v>-272544.27614944061</v>
      </c>
      <c r="R10" s="45">
        <f>Model!R18</f>
        <v>-282083.32581467094</v>
      </c>
      <c r="S10" s="45">
        <f>Model!S18</f>
        <v>-291956.24221818452</v>
      </c>
      <c r="T10" s="45">
        <f>Model!T18</f>
        <v>-302174.71069582092</v>
      </c>
      <c r="U10" s="45">
        <f>Model!U18</f>
        <v>-312750.82557017455</v>
      </c>
      <c r="V10" s="45">
        <f>Model!V18</f>
        <v>-323697.10446513066</v>
      </c>
      <c r="W10" s="45">
        <f>Model!W18</f>
        <v>-335026.50312141021</v>
      </c>
      <c r="X10" s="45">
        <f>Model!X18</f>
        <v>-346752.43073065951</v>
      </c>
    </row>
    <row r="11" spans="2:24" ht="13.5" customHeight="1" x14ac:dyDescent="0.25">
      <c r="B11" s="33" t="s">
        <v>130</v>
      </c>
      <c r="C11" s="17" t="s">
        <v>20</v>
      </c>
      <c r="E11" s="36">
        <f t="shared" ref="E11:X11" si="0">E9+E10</f>
        <v>1013401.625</v>
      </c>
      <c r="F11" s="36">
        <f t="shared" si="0"/>
        <v>1024267.14658125</v>
      </c>
      <c r="G11" s="36">
        <f t="shared" si="0"/>
        <v>1035158.9165449667</v>
      </c>
      <c r="H11" s="36">
        <f t="shared" si="0"/>
        <v>1046072.7588788157</v>
      </c>
      <c r="I11" s="36">
        <f t="shared" si="0"/>
        <v>1057004.2780972158</v>
      </c>
      <c r="J11" s="36">
        <f t="shared" si="0"/>
        <v>1067948.8505048035</v>
      </c>
      <c r="K11" s="36">
        <f t="shared" si="0"/>
        <v>1078901.615138938</v>
      </c>
      <c r="L11" s="36">
        <f t="shared" si="0"/>
        <v>1089857.4643797954</v>
      </c>
      <c r="M11" s="36">
        <f t="shared" si="0"/>
        <v>1100811.0342161946</v>
      </c>
      <c r="N11" s="36">
        <f t="shared" si="0"/>
        <v>1111756.6941548781</v>
      </c>
      <c r="O11" s="36">
        <f t="shared" si="0"/>
        <v>1122688.5367605512</v>
      </c>
      <c r="P11" s="36">
        <f t="shared" si="0"/>
        <v>1133600.3668135062</v>
      </c>
      <c r="Q11" s="36">
        <f t="shared" si="0"/>
        <v>1144485.6900712377</v>
      </c>
      <c r="R11" s="36">
        <f t="shared" si="0"/>
        <v>1155337.7016199231</v>
      </c>
      <c r="S11" s="36">
        <f t="shared" si="0"/>
        <v>1171675.5757093064</v>
      </c>
      <c r="T11" s="36">
        <f t="shared" si="0"/>
        <v>1190729.7435902194</v>
      </c>
      <c r="U11" s="36">
        <f t="shared" si="0"/>
        <v>1210011.717801587</v>
      </c>
      <c r="V11" s="36">
        <f t="shared" si="0"/>
        <v>1229520.6897740662</v>
      </c>
      <c r="W11" s="36">
        <f t="shared" si="0"/>
        <v>1249255.6470025703</v>
      </c>
      <c r="X11" s="36">
        <f t="shared" si="0"/>
        <v>1269215.3623958007</v>
      </c>
    </row>
    <row r="12" spans="2:24" ht="13.5" customHeight="1" x14ac:dyDescent="0.25">
      <c r="B12" s="16" t="s">
        <v>172</v>
      </c>
      <c r="C12" s="17" t="s">
        <v>20</v>
      </c>
      <c r="E12" s="37">
        <f>-(Assumptions!$D$30+Debt!$D$8+Debt!$D$9)/Assumptions!$D$67</f>
        <v>-290274.46875</v>
      </c>
      <c r="F12" s="37">
        <f>-(Assumptions!$D$30+Debt!$D$8+Debt!$D$9)/Assumptions!$D$67</f>
        <v>-290274.46875</v>
      </c>
      <c r="G12" s="37">
        <f>-(Assumptions!$D$30+Debt!$D$8+Debt!$D$9)/Assumptions!$D$67</f>
        <v>-290274.46875</v>
      </c>
      <c r="H12" s="37">
        <f>-(Assumptions!$D$30+Debt!$D$8+Debt!$D$9)/Assumptions!$D$67</f>
        <v>-290274.46875</v>
      </c>
      <c r="I12" s="37">
        <f>-(Assumptions!$D$30+Debt!$D$8+Debt!$D$9)/Assumptions!$D$67</f>
        <v>-290274.46875</v>
      </c>
      <c r="J12" s="37">
        <f>-(Assumptions!$D$30+Debt!$D$8+Debt!$D$9)/Assumptions!$D$67</f>
        <v>-290274.46875</v>
      </c>
      <c r="K12" s="37">
        <f>-(Assumptions!$D$30+Debt!$D$8+Debt!$D$9)/Assumptions!$D$67</f>
        <v>-290274.46875</v>
      </c>
      <c r="L12" s="37">
        <f>-(Assumptions!$D$30+Debt!$D$8+Debt!$D$9)/Assumptions!$D$67</f>
        <v>-290274.46875</v>
      </c>
      <c r="M12" s="37">
        <f>-(Assumptions!$D$30+Debt!$D$8+Debt!$D$9)/Assumptions!$D$67</f>
        <v>-290274.46875</v>
      </c>
      <c r="N12" s="37">
        <f>-(Assumptions!$D$30+Debt!$D$8+Debt!$D$9)/Assumptions!$D$67</f>
        <v>-290274.46875</v>
      </c>
      <c r="O12" s="37">
        <f>-(Assumptions!$D$30+Debt!$D$8+Debt!$D$9)/Assumptions!$D$67</f>
        <v>-290274.46875</v>
      </c>
      <c r="P12" s="37">
        <f>-(Assumptions!$D$30+Debt!$D$8+Debt!$D$9)/Assumptions!$D$67</f>
        <v>-290274.46875</v>
      </c>
      <c r="Q12" s="37">
        <f>-(Assumptions!$D$30+Debt!$D$8+Debt!$D$9)/Assumptions!$D$67</f>
        <v>-290274.46875</v>
      </c>
      <c r="R12" s="37">
        <f>-(Assumptions!$D$30+Debt!$D$8+Debt!$D$9)/Assumptions!$D$67</f>
        <v>-290274.46875</v>
      </c>
      <c r="S12" s="37">
        <f>-(Assumptions!$D$30+Debt!$D$8+Debt!$D$9)/Assumptions!$D$67</f>
        <v>-290274.46875</v>
      </c>
      <c r="T12" s="37">
        <f>-(Assumptions!$D$30+Debt!$D$8+Debt!$D$9)/Assumptions!$D$67</f>
        <v>-290274.46875</v>
      </c>
      <c r="U12" s="37">
        <f>-(Assumptions!$D$30+Debt!$D$8+Debt!$D$9)/Assumptions!$D$67</f>
        <v>-290274.46875</v>
      </c>
      <c r="V12" s="37">
        <f>-(Assumptions!$D$30+Debt!$D$8+Debt!$D$9)/Assumptions!$D$67</f>
        <v>-290274.46875</v>
      </c>
      <c r="W12" s="37">
        <f>-(Assumptions!$D$30+Debt!$D$8+Debt!$D$9)/Assumptions!$D$67</f>
        <v>-290274.46875</v>
      </c>
      <c r="X12" s="37">
        <f>-(Assumptions!$D$30+Debt!$D$8+Debt!$D$9)/Assumptions!$D$67</f>
        <v>-290274.46875</v>
      </c>
    </row>
    <row r="13" spans="2:24" ht="13.5" customHeight="1" x14ac:dyDescent="0.25">
      <c r="B13" s="16" t="s">
        <v>173</v>
      </c>
      <c r="C13" s="17" t="s">
        <v>20</v>
      </c>
      <c r="E13" s="37">
        <f t="shared" ref="E13:X13" si="1">E11+E12</f>
        <v>723127.15625</v>
      </c>
      <c r="F13" s="37">
        <f t="shared" si="1"/>
        <v>733992.67783125001</v>
      </c>
      <c r="G13" s="37">
        <f t="shared" si="1"/>
        <v>744884.44779496675</v>
      </c>
      <c r="H13" s="37">
        <f t="shared" si="1"/>
        <v>755798.29012881569</v>
      </c>
      <c r="I13" s="37">
        <f t="shared" si="1"/>
        <v>766729.80934721581</v>
      </c>
      <c r="J13" s="37">
        <f t="shared" si="1"/>
        <v>777674.38175480347</v>
      </c>
      <c r="K13" s="37">
        <f t="shared" si="1"/>
        <v>788627.14638893795</v>
      </c>
      <c r="L13" s="37">
        <f t="shared" si="1"/>
        <v>799582.99562979536</v>
      </c>
      <c r="M13" s="37">
        <f t="shared" si="1"/>
        <v>810536.56546619465</v>
      </c>
      <c r="N13" s="37">
        <f t="shared" si="1"/>
        <v>821482.22540487815</v>
      </c>
      <c r="O13" s="37">
        <f t="shared" si="1"/>
        <v>832414.06801055116</v>
      </c>
      <c r="P13" s="37">
        <f t="shared" si="1"/>
        <v>843325.89806350623</v>
      </c>
      <c r="Q13" s="37">
        <f t="shared" si="1"/>
        <v>854211.22132123774</v>
      </c>
      <c r="R13" s="37">
        <f t="shared" si="1"/>
        <v>865063.23286992311</v>
      </c>
      <c r="S13" s="37">
        <f t="shared" si="1"/>
        <v>881401.1069593064</v>
      </c>
      <c r="T13" s="37">
        <f t="shared" si="1"/>
        <v>900455.27484021941</v>
      </c>
      <c r="U13" s="37">
        <f t="shared" si="1"/>
        <v>919737.24905158696</v>
      </c>
      <c r="V13" s="37">
        <f t="shared" si="1"/>
        <v>939246.22102406621</v>
      </c>
      <c r="W13" s="37">
        <f t="shared" si="1"/>
        <v>958981.17825257033</v>
      </c>
      <c r="X13" s="37">
        <f t="shared" si="1"/>
        <v>978940.89364580065</v>
      </c>
    </row>
    <row r="14" spans="2:24" ht="13.5" customHeight="1" x14ac:dyDescent="0.25">
      <c r="B14" s="16" t="s">
        <v>174</v>
      </c>
      <c r="C14" s="17" t="s">
        <v>20</v>
      </c>
      <c r="E14" s="45">
        <f>-Debt!E29</f>
        <v>-349583.85</v>
      </c>
      <c r="F14" s="45">
        <f>-Debt!F29</f>
        <v>-339013.51784695435</v>
      </c>
      <c r="G14" s="45">
        <f>-Debt!G29</f>
        <v>-326969.59379629843</v>
      </c>
      <c r="H14" s="45">
        <f>-Debt!H29</f>
        <v>-313310.9526397789</v>
      </c>
      <c r="I14" s="45">
        <f>-Debt!I29</f>
        <v>-297883.24268570507</v>
      </c>
      <c r="J14" s="45">
        <f>-Debt!J29</f>
        <v>-280517.63872466702</v>
      </c>
      <c r="K14" s="45">
        <f>-Debt!K29</f>
        <v>-261029.47690443078</v>
      </c>
      <c r="L14" s="45">
        <f>-Debt!L29</f>
        <v>-239216.76030924905</v>
      </c>
      <c r="M14" s="45">
        <f>-Debt!M29</f>
        <v>-214858.52297486752</v>
      </c>
      <c r="N14" s="45">
        <f>-Debt!N29</f>
        <v>-187713.0389054908</v>
      </c>
      <c r="O14" s="45">
        <f>-Debt!O29</f>
        <v>-157515.86138329751</v>
      </c>
      <c r="P14" s="45">
        <f>-Debt!P29</f>
        <v>-123977.67646424881</v>
      </c>
      <c r="Q14" s="45">
        <f>-Debt!Q29</f>
        <v>-86781.953024409144</v>
      </c>
      <c r="R14" s="45">
        <f>-Debt!R29</f>
        <v>-45582.370046186006</v>
      </c>
      <c r="S14" s="45">
        <f>-Debt!S29</f>
        <v>0</v>
      </c>
      <c r="T14" s="45">
        <f>-Debt!T29</f>
        <v>0</v>
      </c>
      <c r="U14" s="45">
        <f>-Debt!U29</f>
        <v>0</v>
      </c>
      <c r="V14" s="45">
        <f>-Debt!V29</f>
        <v>0</v>
      </c>
      <c r="W14" s="45">
        <f>-Debt!W29</f>
        <v>0</v>
      </c>
      <c r="X14" s="45">
        <f>-Debt!X29</f>
        <v>0</v>
      </c>
    </row>
    <row r="15" spans="2:24" ht="13.5" customHeight="1" x14ac:dyDescent="0.25">
      <c r="B15" s="16" t="s">
        <v>175</v>
      </c>
      <c r="C15" s="17" t="s">
        <v>20</v>
      </c>
      <c r="E15" s="37">
        <f t="shared" ref="E15:X15" si="2">E13+E14</f>
        <v>373543.30625000002</v>
      </c>
      <c r="F15" s="37">
        <f t="shared" si="2"/>
        <v>394979.15998429566</v>
      </c>
      <c r="G15" s="37">
        <f t="shared" si="2"/>
        <v>417914.85399866832</v>
      </c>
      <c r="H15" s="37">
        <f t="shared" si="2"/>
        <v>442487.33748903678</v>
      </c>
      <c r="I15" s="37">
        <f t="shared" si="2"/>
        <v>468846.56666151073</v>
      </c>
      <c r="J15" s="37">
        <f t="shared" si="2"/>
        <v>497156.74303013645</v>
      </c>
      <c r="K15" s="37">
        <f t="shared" si="2"/>
        <v>527597.66948450718</v>
      </c>
      <c r="L15" s="37">
        <f t="shared" si="2"/>
        <v>560366.23532054632</v>
      </c>
      <c r="M15" s="37">
        <f t="shared" si="2"/>
        <v>595678.04249132716</v>
      </c>
      <c r="N15" s="37">
        <f t="shared" si="2"/>
        <v>633769.18649938738</v>
      </c>
      <c r="O15" s="37">
        <f t="shared" si="2"/>
        <v>674898.20662725368</v>
      </c>
      <c r="P15" s="37">
        <f t="shared" si="2"/>
        <v>719348.22159925743</v>
      </c>
      <c r="Q15" s="37">
        <f t="shared" si="2"/>
        <v>767429.26829682861</v>
      </c>
      <c r="R15" s="37">
        <f t="shared" si="2"/>
        <v>819480.86282373709</v>
      </c>
      <c r="S15" s="37">
        <f t="shared" si="2"/>
        <v>881401.1069593064</v>
      </c>
      <c r="T15" s="37">
        <f t="shared" si="2"/>
        <v>900455.27484021941</v>
      </c>
      <c r="U15" s="37">
        <f t="shared" si="2"/>
        <v>919737.24905158696</v>
      </c>
      <c r="V15" s="37">
        <f t="shared" si="2"/>
        <v>939246.22102406621</v>
      </c>
      <c r="W15" s="37">
        <f t="shared" si="2"/>
        <v>958981.17825257033</v>
      </c>
      <c r="X15" s="37">
        <f t="shared" si="2"/>
        <v>978940.89364580065</v>
      </c>
    </row>
    <row r="16" spans="2:24" ht="13.5" customHeight="1" x14ac:dyDescent="0.25">
      <c r="B16" s="16" t="s">
        <v>138</v>
      </c>
      <c r="C16" s="17" t="s">
        <v>20</v>
      </c>
      <c r="E16" s="45">
        <f>Model!E29</f>
        <v>0</v>
      </c>
      <c r="F16" s="45">
        <f>Model!F29</f>
        <v>0</v>
      </c>
      <c r="G16" s="45">
        <f>Model!G29</f>
        <v>0</v>
      </c>
      <c r="H16" s="45">
        <f>Model!H29</f>
        <v>0</v>
      </c>
      <c r="I16" s="45">
        <f>Model!I29</f>
        <v>0</v>
      </c>
      <c r="J16" s="45">
        <f>Model!J29</f>
        <v>-259852.299887445</v>
      </c>
      <c r="K16" s="45">
        <f>Model!K29</f>
        <v>-269897.80561738735</v>
      </c>
      <c r="L16" s="45">
        <f>Model!L29</f>
        <v>-280711.43234328023</v>
      </c>
      <c r="M16" s="45">
        <f>Model!M29</f>
        <v>-292364.32870963792</v>
      </c>
      <c r="N16" s="45">
        <f>Model!N29</f>
        <v>-304934.40623229777</v>
      </c>
      <c r="O16" s="45">
        <f>Model!O29</f>
        <v>-318506.9828744937</v>
      </c>
      <c r="P16" s="45">
        <f>Model!P29</f>
        <v>-333175.48781525489</v>
      </c>
      <c r="Q16" s="45">
        <f>Model!Q29</f>
        <v>-349042.23322545335</v>
      </c>
      <c r="R16" s="45">
        <f>Model!R29</f>
        <v>-366219.25941933319</v>
      </c>
      <c r="S16" s="45">
        <f>Model!S29</f>
        <v>-386652.93998407107</v>
      </c>
      <c r="T16" s="45">
        <f>Model!T29</f>
        <v>-392940.81538477237</v>
      </c>
      <c r="U16" s="45">
        <f>Model!U29</f>
        <v>-399303.86687452364</v>
      </c>
      <c r="V16" s="45">
        <f>Model!V29</f>
        <v>-405741.82762544177</v>
      </c>
      <c r="W16" s="45">
        <f>Model!W29</f>
        <v>-412254.36351084814</v>
      </c>
      <c r="X16" s="45">
        <f>Model!X29</f>
        <v>-418841.06959061418</v>
      </c>
    </row>
    <row r="17" spans="2:24" ht="13.5" customHeight="1" x14ac:dyDescent="0.25">
      <c r="B17" s="33" t="s">
        <v>176</v>
      </c>
      <c r="C17" s="17" t="s">
        <v>20</v>
      </c>
      <c r="E17" s="36">
        <f t="shared" ref="E17:X17" si="3">E15+E16</f>
        <v>373543.30625000002</v>
      </c>
      <c r="F17" s="36">
        <f t="shared" si="3"/>
        <v>394979.15998429566</v>
      </c>
      <c r="G17" s="36">
        <f t="shared" si="3"/>
        <v>417914.85399866832</v>
      </c>
      <c r="H17" s="36">
        <f t="shared" si="3"/>
        <v>442487.33748903678</v>
      </c>
      <c r="I17" s="36">
        <f t="shared" si="3"/>
        <v>468846.56666151073</v>
      </c>
      <c r="J17" s="36">
        <f t="shared" si="3"/>
        <v>237304.44314269145</v>
      </c>
      <c r="K17" s="36">
        <f t="shared" si="3"/>
        <v>257699.86386711983</v>
      </c>
      <c r="L17" s="36">
        <f t="shared" si="3"/>
        <v>279654.80297726608</v>
      </c>
      <c r="M17" s="36">
        <f t="shared" si="3"/>
        <v>303313.71378168924</v>
      </c>
      <c r="N17" s="36">
        <f t="shared" si="3"/>
        <v>328834.78026708961</v>
      </c>
      <c r="O17" s="36">
        <f t="shared" si="3"/>
        <v>356391.22375275998</v>
      </c>
      <c r="P17" s="36">
        <f t="shared" si="3"/>
        <v>386172.73378400254</v>
      </c>
      <c r="Q17" s="36">
        <f t="shared" si="3"/>
        <v>418387.03507137526</v>
      </c>
      <c r="R17" s="36">
        <f t="shared" si="3"/>
        <v>453261.6034044039</v>
      </c>
      <c r="S17" s="36">
        <f t="shared" si="3"/>
        <v>494748.16697523533</v>
      </c>
      <c r="T17" s="36">
        <f t="shared" si="3"/>
        <v>507514.45945544704</v>
      </c>
      <c r="U17" s="36">
        <f t="shared" si="3"/>
        <v>520433.38217706332</v>
      </c>
      <c r="V17" s="36">
        <f t="shared" si="3"/>
        <v>533504.39339862438</v>
      </c>
      <c r="W17" s="36">
        <f t="shared" si="3"/>
        <v>546726.81474172219</v>
      </c>
      <c r="X17" s="36">
        <f t="shared" si="3"/>
        <v>560099.82405518647</v>
      </c>
    </row>
    <row r="19" spans="2:24" ht="16.5" customHeight="1" x14ac:dyDescent="0.25">
      <c r="B19" s="14" t="s">
        <v>177</v>
      </c>
      <c r="C19" s="15"/>
      <c r="D19" s="15"/>
      <c r="E19" s="15"/>
      <c r="F19" s="15"/>
      <c r="G19" s="15"/>
      <c r="H19" s="15"/>
      <c r="I19" s="15"/>
      <c r="J19" s="15"/>
      <c r="K19" s="15"/>
      <c r="L19" s="15"/>
      <c r="M19" s="15"/>
      <c r="N19" s="15"/>
      <c r="O19" s="15"/>
      <c r="P19" s="15"/>
      <c r="Q19" s="15"/>
      <c r="R19" s="15"/>
      <c r="S19" s="15"/>
      <c r="T19" s="15"/>
      <c r="U19" s="15"/>
      <c r="V19" s="15"/>
      <c r="W19" s="15"/>
      <c r="X19" s="15"/>
    </row>
    <row r="20" spans="2:24" ht="13.5" customHeight="1" x14ac:dyDescent="0.25">
      <c r="B20" s="16" t="s">
        <v>130</v>
      </c>
      <c r="C20" s="17" t="s">
        <v>20</v>
      </c>
      <c r="E20" s="45">
        <f>Model!E19</f>
        <v>1013401.625</v>
      </c>
      <c r="F20" s="45">
        <f>Model!F19</f>
        <v>1024267.14658125</v>
      </c>
      <c r="G20" s="45">
        <f>Model!G19</f>
        <v>1035158.9165449667</v>
      </c>
      <c r="H20" s="45">
        <f>Model!H19</f>
        <v>1046072.7588788157</v>
      </c>
      <c r="I20" s="45">
        <f>Model!I19</f>
        <v>1057004.2780972158</v>
      </c>
      <c r="J20" s="45">
        <f>Model!J19</f>
        <v>1067948.8505048035</v>
      </c>
      <c r="K20" s="45">
        <f>Model!K19</f>
        <v>1078901.615138938</v>
      </c>
      <c r="L20" s="45">
        <f>Model!L19</f>
        <v>1089857.4643797954</v>
      </c>
      <c r="M20" s="45">
        <f>Model!M19</f>
        <v>1100811.0342161946</v>
      </c>
      <c r="N20" s="45">
        <f>Model!N19</f>
        <v>1111756.6941548781</v>
      </c>
      <c r="O20" s="45">
        <f>Model!O19</f>
        <v>1122688.5367605512</v>
      </c>
      <c r="P20" s="45">
        <f>Model!P19</f>
        <v>1133600.3668135062</v>
      </c>
      <c r="Q20" s="45">
        <f>Model!Q19</f>
        <v>1144485.6900712377</v>
      </c>
      <c r="R20" s="45">
        <f>Model!R19</f>
        <v>1155337.7016199231</v>
      </c>
      <c r="S20" s="45">
        <f>Model!S19</f>
        <v>1171675.5757093064</v>
      </c>
      <c r="T20" s="45">
        <f>Model!T19</f>
        <v>1190729.7435902194</v>
      </c>
      <c r="U20" s="45">
        <f>Model!U19</f>
        <v>1210011.717801587</v>
      </c>
      <c r="V20" s="45">
        <f>Model!V19</f>
        <v>1229520.6897740662</v>
      </c>
      <c r="W20" s="45">
        <f>Model!W19</f>
        <v>1249255.6470025703</v>
      </c>
      <c r="X20" s="45">
        <f>Model!X19</f>
        <v>1269215.3623958007</v>
      </c>
    </row>
    <row r="21" spans="2:24" ht="13.5" customHeight="1" x14ac:dyDescent="0.25">
      <c r="B21" s="16" t="s">
        <v>178</v>
      </c>
      <c r="C21" s="17" t="s">
        <v>20</v>
      </c>
      <c r="E21" s="45">
        <f>Model!E29</f>
        <v>0</v>
      </c>
      <c r="F21" s="45">
        <f>Model!F29</f>
        <v>0</v>
      </c>
      <c r="G21" s="45">
        <f>Model!G29</f>
        <v>0</v>
      </c>
      <c r="H21" s="45">
        <f>Model!H29</f>
        <v>0</v>
      </c>
      <c r="I21" s="45">
        <f>Model!I29</f>
        <v>0</v>
      </c>
      <c r="J21" s="45">
        <f>Model!J29</f>
        <v>-259852.299887445</v>
      </c>
      <c r="K21" s="45">
        <f>Model!K29</f>
        <v>-269897.80561738735</v>
      </c>
      <c r="L21" s="45">
        <f>Model!L29</f>
        <v>-280711.43234328023</v>
      </c>
      <c r="M21" s="45">
        <f>Model!M29</f>
        <v>-292364.32870963792</v>
      </c>
      <c r="N21" s="45">
        <f>Model!N29</f>
        <v>-304934.40623229777</v>
      </c>
      <c r="O21" s="45">
        <f>Model!O29</f>
        <v>-318506.9828744937</v>
      </c>
      <c r="P21" s="45">
        <f>Model!P29</f>
        <v>-333175.48781525489</v>
      </c>
      <c r="Q21" s="45">
        <f>Model!Q29</f>
        <v>-349042.23322545335</v>
      </c>
      <c r="R21" s="45">
        <f>Model!R29</f>
        <v>-366219.25941933319</v>
      </c>
      <c r="S21" s="45">
        <f>Model!S29</f>
        <v>-386652.93998407107</v>
      </c>
      <c r="T21" s="45">
        <f>Model!T29</f>
        <v>-392940.81538477237</v>
      </c>
      <c r="U21" s="45">
        <f>Model!U29</f>
        <v>-399303.86687452364</v>
      </c>
      <c r="V21" s="45">
        <f>Model!V29</f>
        <v>-405741.82762544177</v>
      </c>
      <c r="W21" s="45">
        <f>Model!W29</f>
        <v>-412254.36351084814</v>
      </c>
      <c r="X21" s="45">
        <f>Model!X29</f>
        <v>-418841.06959061418</v>
      </c>
    </row>
    <row r="22" spans="2:24" ht="13.5" customHeight="1" x14ac:dyDescent="0.25">
      <c r="B22" s="16" t="s">
        <v>179</v>
      </c>
      <c r="C22" s="17" t="s">
        <v>20</v>
      </c>
      <c r="E22" s="45">
        <f>-Debt!E30</f>
        <v>-460850.5042425858</v>
      </c>
      <c r="F22" s="45">
        <f>-Debt!F30</f>
        <v>-465791.66574859561</v>
      </c>
      <c r="G22" s="45">
        <f>-Debt!G30</f>
        <v>-470744.76386492542</v>
      </c>
      <c r="H22" s="45">
        <f>-Debt!H30</f>
        <v>-475707.89952476649</v>
      </c>
      <c r="I22" s="45">
        <f>-Debt!I30</f>
        <v>-480679.07385452662</v>
      </c>
      <c r="J22" s="45">
        <f>-Debt!J30</f>
        <v>-485656.18420083803</v>
      </c>
      <c r="K22" s="45">
        <f>-Debt!K30</f>
        <v>-490637.02001160674</v>
      </c>
      <c r="L22" s="45">
        <f>-Debt!L30</f>
        <v>-495619.25856589648</v>
      </c>
      <c r="M22" s="45">
        <f>-Debt!M30</f>
        <v>-500600.46054725407</v>
      </c>
      <c r="N22" s="45">
        <f>-Debt!N30</f>
        <v>-505578.06545489392</v>
      </c>
      <c r="O22" s="45">
        <f>-Debt!O30</f>
        <v>-510549.38684696786</v>
      </c>
      <c r="P22" s="45">
        <f>-Debt!P30</f>
        <v>-515511.60740992951</v>
      </c>
      <c r="Q22" s="45">
        <f>-Debt!Q30</f>
        <v>-520461.77384781052</v>
      </c>
      <c r="R22" s="45">
        <f>-Debt!R30</f>
        <v>-525396.79158498661</v>
      </c>
      <c r="S22" s="45">
        <f>-Debt!S30</f>
        <v>0</v>
      </c>
      <c r="T22" s="45">
        <f>-Debt!T30</f>
        <v>0</v>
      </c>
      <c r="U22" s="45">
        <f>-Debt!U30</f>
        <v>0</v>
      </c>
      <c r="V22" s="45">
        <f>-Debt!V30</f>
        <v>0</v>
      </c>
      <c r="W22" s="45">
        <f>-Debt!W30</f>
        <v>0</v>
      </c>
      <c r="X22" s="45">
        <f>-Debt!X30</f>
        <v>0</v>
      </c>
    </row>
    <row r="23" spans="2:24" ht="13.5" customHeight="1" x14ac:dyDescent="0.25">
      <c r="B23" s="16" t="s">
        <v>166</v>
      </c>
      <c r="C23" s="17" t="s">
        <v>20</v>
      </c>
      <c r="E23" s="45">
        <f>-Debt!E36</f>
        <v>-2470.5807530048769</v>
      </c>
      <c r="F23" s="45">
        <f>-Debt!F36</f>
        <v>-2476.5490581649356</v>
      </c>
      <c r="G23" s="45">
        <f>-Debt!G36</f>
        <v>-2481.5678299205319</v>
      </c>
      <c r="H23" s="45">
        <f>-Debt!H36</f>
        <v>-2485.5871648800967</v>
      </c>
      <c r="I23" s="45">
        <f>-Debt!I36</f>
        <v>-2488.555173155677</v>
      </c>
      <c r="J23" s="45">
        <f>-Debt!J36</f>
        <v>-2490.4179053843836</v>
      </c>
      <c r="K23" s="45">
        <f>-Debt!K36</f>
        <v>-2491.1192771448405</v>
      </c>
      <c r="L23" s="45">
        <f>-Debt!L36</f>
        <v>-2490.600990678824</v>
      </c>
      <c r="M23" s="45">
        <f>-Debt!M36</f>
        <v>-2488.8024538198952</v>
      </c>
      <c r="N23" s="45">
        <f>-Debt!N36</f>
        <v>-2485.660696036939</v>
      </c>
      <c r="O23" s="45">
        <f>-Debt!O36</f>
        <v>-2481.1102814808837</v>
      </c>
      <c r="P23" s="45">
        <f>-Debt!P36</f>
        <v>-2475.0832189404755</v>
      </c>
      <c r="Q23" s="45">
        <f>-Debt!Q36</f>
        <v>-2467.5088685880473</v>
      </c>
      <c r="R23" s="45">
        <f>-Debt!R36</f>
        <v>262698.39579249331</v>
      </c>
      <c r="S23" s="45">
        <f>-Debt!S36</f>
        <v>0</v>
      </c>
      <c r="T23" s="45">
        <f>-Debt!T36</f>
        <v>0</v>
      </c>
      <c r="U23" s="45">
        <f>-Debt!U36</f>
        <v>0</v>
      </c>
      <c r="V23" s="45">
        <f>-Debt!V36</f>
        <v>0</v>
      </c>
      <c r="W23" s="45">
        <f>-Debt!W36</f>
        <v>0</v>
      </c>
      <c r="X23" s="45">
        <f>-Debt!X36</f>
        <v>0</v>
      </c>
    </row>
    <row r="24" spans="2:24" ht="13.5" customHeight="1" x14ac:dyDescent="0.25">
      <c r="B24" s="33" t="s">
        <v>180</v>
      </c>
      <c r="C24" s="17" t="s">
        <v>20</v>
      </c>
      <c r="D24" s="36">
        <f>-Debt!$D$15</f>
        <v>-2406084.627121293</v>
      </c>
      <c r="E24" s="36">
        <f t="shared" ref="E24:X24" si="4">SUM(E20:E23)</f>
        <v>550080.54000440938</v>
      </c>
      <c r="F24" s="36">
        <f t="shared" si="4"/>
        <v>555998.93177448947</v>
      </c>
      <c r="G24" s="36">
        <f t="shared" si="4"/>
        <v>561932.58485012071</v>
      </c>
      <c r="H24" s="36">
        <f t="shared" si="4"/>
        <v>567879.27218916907</v>
      </c>
      <c r="I24" s="36">
        <f t="shared" si="4"/>
        <v>573836.64906953345</v>
      </c>
      <c r="J24" s="36">
        <f t="shared" si="4"/>
        <v>319949.948511136</v>
      </c>
      <c r="K24" s="36">
        <f t="shared" si="4"/>
        <v>315875.67023279896</v>
      </c>
      <c r="L24" s="36">
        <f t="shared" si="4"/>
        <v>311036.17247993988</v>
      </c>
      <c r="M24" s="36">
        <f t="shared" si="4"/>
        <v>305357.4425054827</v>
      </c>
      <c r="N24" s="36">
        <f t="shared" si="4"/>
        <v>298758.56177164952</v>
      </c>
      <c r="O24" s="36">
        <f t="shared" si="4"/>
        <v>291151.05675760872</v>
      </c>
      <c r="P24" s="36">
        <f t="shared" si="4"/>
        <v>282438.18836938142</v>
      </c>
      <c r="Q24" s="36">
        <f t="shared" si="4"/>
        <v>272514.17412938573</v>
      </c>
      <c r="R24" s="36">
        <f t="shared" si="4"/>
        <v>526420.04640809656</v>
      </c>
      <c r="S24" s="36">
        <f t="shared" si="4"/>
        <v>785022.63572523533</v>
      </c>
      <c r="T24" s="36">
        <f t="shared" si="4"/>
        <v>797788.92820544704</v>
      </c>
      <c r="U24" s="36">
        <f t="shared" si="4"/>
        <v>810707.85092706326</v>
      </c>
      <c r="V24" s="36">
        <f t="shared" si="4"/>
        <v>823778.86214862438</v>
      </c>
      <c r="W24" s="36">
        <f t="shared" si="4"/>
        <v>837001.28349172219</v>
      </c>
      <c r="X24" s="36">
        <f t="shared" si="4"/>
        <v>850374.29280518647</v>
      </c>
    </row>
    <row r="26" spans="2:24" ht="16.5" customHeight="1" x14ac:dyDescent="0.25">
      <c r="B26" s="14" t="s">
        <v>181</v>
      </c>
      <c r="C26" s="15"/>
      <c r="D26" s="15"/>
      <c r="E26" s="15"/>
      <c r="F26" s="15"/>
      <c r="G26" s="15"/>
      <c r="H26" s="15"/>
      <c r="I26" s="15"/>
      <c r="J26" s="15"/>
      <c r="K26" s="15"/>
      <c r="L26" s="15"/>
      <c r="M26" s="15"/>
      <c r="N26" s="15"/>
      <c r="O26" s="15"/>
      <c r="P26" s="15"/>
      <c r="Q26" s="15"/>
      <c r="R26" s="15"/>
      <c r="S26" s="15"/>
      <c r="T26" s="15"/>
      <c r="U26" s="15"/>
      <c r="V26" s="15"/>
      <c r="W26" s="15"/>
      <c r="X26" s="15"/>
    </row>
    <row r="27" spans="2:24" ht="13.5" customHeight="1" x14ac:dyDescent="0.25">
      <c r="B27" s="16" t="s">
        <v>182</v>
      </c>
      <c r="C27" s="17" t="s">
        <v>20</v>
      </c>
      <c r="E27" s="37">
        <f>(Assumptions!$D$30+Debt!$D$8+Debt!$D$9)-(Assumptions!$D$30+Debt!$D$8+Debt!$D$9)/Assumptions!$D$67*1</f>
        <v>5515214.90625</v>
      </c>
      <c r="F27" s="37">
        <f>(Assumptions!$D$30+Debt!$D$8+Debt!$D$9)-(Assumptions!$D$30+Debt!$D$8+Debt!$D$9)/Assumptions!$D$67*2</f>
        <v>5224940.4375</v>
      </c>
      <c r="G27" s="37">
        <f>(Assumptions!$D$30+Debt!$D$8+Debt!$D$9)-(Assumptions!$D$30+Debt!$D$8+Debt!$D$9)/Assumptions!$D$67*3</f>
        <v>4934665.96875</v>
      </c>
      <c r="H27" s="37">
        <f>(Assumptions!$D$30+Debt!$D$8+Debt!$D$9)-(Assumptions!$D$30+Debt!$D$8+Debt!$D$9)/Assumptions!$D$67*4</f>
        <v>4644391.5</v>
      </c>
      <c r="I27" s="37">
        <f>(Assumptions!$D$30+Debt!$D$8+Debt!$D$9)-(Assumptions!$D$30+Debt!$D$8+Debt!$D$9)/Assumptions!$D$67*5</f>
        <v>4354117.03125</v>
      </c>
      <c r="J27" s="37">
        <f>(Assumptions!$D$30+Debt!$D$8+Debt!$D$9)-(Assumptions!$D$30+Debt!$D$8+Debt!$D$9)/Assumptions!$D$67*6</f>
        <v>4063842.5625</v>
      </c>
      <c r="K27" s="37">
        <f>(Assumptions!$D$30+Debt!$D$8+Debt!$D$9)-(Assumptions!$D$30+Debt!$D$8+Debt!$D$9)/Assumptions!$D$67*7</f>
        <v>3773568.09375</v>
      </c>
      <c r="L27" s="37">
        <f>(Assumptions!$D$30+Debt!$D$8+Debt!$D$9)-(Assumptions!$D$30+Debt!$D$8+Debt!$D$9)/Assumptions!$D$67*8</f>
        <v>3483293.625</v>
      </c>
      <c r="M27" s="37">
        <f>(Assumptions!$D$30+Debt!$D$8+Debt!$D$9)-(Assumptions!$D$30+Debt!$D$8+Debt!$D$9)/Assumptions!$D$67*9</f>
        <v>3193019.15625</v>
      </c>
      <c r="N27" s="37">
        <f>(Assumptions!$D$30+Debt!$D$8+Debt!$D$9)-(Assumptions!$D$30+Debt!$D$8+Debt!$D$9)/Assumptions!$D$67*10</f>
        <v>2902744.6875</v>
      </c>
      <c r="O27" s="37">
        <f>(Assumptions!$D$30+Debt!$D$8+Debt!$D$9)-(Assumptions!$D$30+Debt!$D$8+Debt!$D$9)/Assumptions!$D$67*11</f>
        <v>2612470.21875</v>
      </c>
      <c r="P27" s="37">
        <f>(Assumptions!$D$30+Debt!$D$8+Debt!$D$9)-(Assumptions!$D$30+Debt!$D$8+Debt!$D$9)/Assumptions!$D$67*12</f>
        <v>2322195.75</v>
      </c>
      <c r="Q27" s="37">
        <f>(Assumptions!$D$30+Debt!$D$8+Debt!$D$9)-(Assumptions!$D$30+Debt!$D$8+Debt!$D$9)/Assumptions!$D$67*13</f>
        <v>2031921.28125</v>
      </c>
      <c r="R27" s="37">
        <f>(Assumptions!$D$30+Debt!$D$8+Debt!$D$9)-(Assumptions!$D$30+Debt!$D$8+Debt!$D$9)/Assumptions!$D$67*14</f>
        <v>1741646.8125</v>
      </c>
      <c r="S27" s="37">
        <f>(Assumptions!$D$30+Debt!$D$8+Debt!$D$9)-(Assumptions!$D$30+Debt!$D$8+Debt!$D$9)/Assumptions!$D$67*15</f>
        <v>1451372.34375</v>
      </c>
      <c r="T27" s="37">
        <f>(Assumptions!$D$30+Debt!$D$8+Debt!$D$9)-(Assumptions!$D$30+Debt!$D$8+Debt!$D$9)/Assumptions!$D$67*16</f>
        <v>1161097.875</v>
      </c>
      <c r="U27" s="37">
        <f>(Assumptions!$D$30+Debt!$D$8+Debt!$D$9)-(Assumptions!$D$30+Debt!$D$8+Debt!$D$9)/Assumptions!$D$67*17</f>
        <v>870823.40625</v>
      </c>
      <c r="V27" s="37">
        <f>(Assumptions!$D$30+Debt!$D$8+Debt!$D$9)-(Assumptions!$D$30+Debt!$D$8+Debt!$D$9)/Assumptions!$D$67*18</f>
        <v>580548.9375</v>
      </c>
      <c r="W27" s="37">
        <f>(Assumptions!$D$30+Debt!$D$8+Debt!$D$9)-(Assumptions!$D$30+Debt!$D$8+Debt!$D$9)/Assumptions!$D$67*19</f>
        <v>290274.46875</v>
      </c>
      <c r="X27" s="37">
        <f>(Assumptions!$D$30+Debt!$D$8+Debt!$D$9)-(Assumptions!$D$30+Debt!$D$8+Debt!$D$9)/Assumptions!$D$67*20</f>
        <v>0</v>
      </c>
    </row>
    <row r="28" spans="2:24" ht="13.5" customHeight="1" x14ac:dyDescent="0.25">
      <c r="B28" s="16" t="s">
        <v>82</v>
      </c>
      <c r="C28" s="17" t="s">
        <v>20</v>
      </c>
      <c r="E28" s="45">
        <f>Debt!E35</f>
        <v>232895.83287429778</v>
      </c>
      <c r="F28" s="45">
        <f>Debt!F35</f>
        <v>235372.38193246271</v>
      </c>
      <c r="G28" s="45">
        <f>Debt!G35</f>
        <v>237853.94976238324</v>
      </c>
      <c r="H28" s="45">
        <f>Debt!H35</f>
        <v>240339.53692726334</v>
      </c>
      <c r="I28" s="45">
        <f>Debt!I35</f>
        <v>242828.09210041902</v>
      </c>
      <c r="J28" s="45">
        <f>Debt!J35</f>
        <v>245318.5100058034</v>
      </c>
      <c r="K28" s="45">
        <f>Debt!K35</f>
        <v>247809.62928294824</v>
      </c>
      <c r="L28" s="45">
        <f>Debt!L35</f>
        <v>250300.23027362706</v>
      </c>
      <c r="M28" s="45">
        <f>Debt!M35</f>
        <v>252789.03272744696</v>
      </c>
      <c r="N28" s="45">
        <f>Debt!N35</f>
        <v>255274.6934234839</v>
      </c>
      <c r="O28" s="45">
        <f>Debt!O35</f>
        <v>257755.80370496478</v>
      </c>
      <c r="P28" s="45">
        <f>Debt!P35</f>
        <v>260230.88692390526</v>
      </c>
      <c r="Q28" s="45">
        <f>Debt!Q35</f>
        <v>262698.39579249331</v>
      </c>
      <c r="R28" s="45">
        <f>Debt!R35</f>
        <v>0</v>
      </c>
      <c r="S28" s="45">
        <f>Debt!S35</f>
        <v>0</v>
      </c>
      <c r="T28" s="45">
        <f>Debt!T35</f>
        <v>0</v>
      </c>
      <c r="U28" s="45">
        <f>Debt!U35</f>
        <v>0</v>
      </c>
      <c r="V28" s="45">
        <f>Debt!V35</f>
        <v>0</v>
      </c>
      <c r="W28" s="45">
        <f>Debt!W35</f>
        <v>0</v>
      </c>
      <c r="X28" s="45">
        <f>Debt!X35</f>
        <v>0</v>
      </c>
    </row>
    <row r="29" spans="2:24" ht="13.5" customHeight="1" x14ac:dyDescent="0.25">
      <c r="B29" s="16" t="s">
        <v>183</v>
      </c>
      <c r="C29" s="17" t="s">
        <v>20</v>
      </c>
      <c r="E29" s="37">
        <f>Assumptions!$D$59</f>
        <v>50000</v>
      </c>
      <c r="F29" s="37">
        <f>Assumptions!$D$59</f>
        <v>50000</v>
      </c>
      <c r="G29" s="37">
        <f>Assumptions!$D$59</f>
        <v>50000</v>
      </c>
      <c r="H29" s="37">
        <f>Assumptions!$D$59</f>
        <v>50000</v>
      </c>
      <c r="I29" s="37">
        <f>Assumptions!$D$59</f>
        <v>50000</v>
      </c>
      <c r="J29" s="37">
        <f>Assumptions!$D$59</f>
        <v>50000</v>
      </c>
      <c r="K29" s="37">
        <f>Assumptions!$D$59</f>
        <v>50000</v>
      </c>
      <c r="L29" s="37">
        <f>Assumptions!$D$59</f>
        <v>50000</v>
      </c>
      <c r="M29" s="37">
        <f>Assumptions!$D$59</f>
        <v>50000</v>
      </c>
      <c r="N29" s="37">
        <f>Assumptions!$D$59</f>
        <v>50000</v>
      </c>
      <c r="O29" s="37">
        <f>Assumptions!$D$59</f>
        <v>50000</v>
      </c>
      <c r="P29" s="37">
        <f>Assumptions!$D$59</f>
        <v>50000</v>
      </c>
      <c r="Q29" s="37">
        <f>Assumptions!$D$59</f>
        <v>50000</v>
      </c>
      <c r="R29" s="37">
        <f>Assumptions!$D$59</f>
        <v>50000</v>
      </c>
      <c r="S29" s="37">
        <f>Assumptions!$D$59</f>
        <v>50000</v>
      </c>
      <c r="T29" s="37">
        <f>Assumptions!$D$59</f>
        <v>50000</v>
      </c>
      <c r="U29" s="37">
        <f>Assumptions!$D$59</f>
        <v>50000</v>
      </c>
      <c r="V29" s="37">
        <f>Assumptions!$D$59</f>
        <v>50000</v>
      </c>
      <c r="W29" s="37">
        <f>Assumptions!$D$59</f>
        <v>50000</v>
      </c>
      <c r="X29" s="37">
        <f>Assumptions!$D$59</f>
        <v>50000</v>
      </c>
    </row>
    <row r="30" spans="2:24" ht="13.5" customHeight="1" x14ac:dyDescent="0.25">
      <c r="B30" s="33" t="s">
        <v>184</v>
      </c>
      <c r="C30" s="17" t="s">
        <v>20</v>
      </c>
      <c r="E30" s="36">
        <f t="shared" ref="E30:X30" si="5">SUM(E27:E29)</f>
        <v>5798110.7391242981</v>
      </c>
      <c r="F30" s="36">
        <f t="shared" si="5"/>
        <v>5510312.8194324626</v>
      </c>
      <c r="G30" s="36">
        <f t="shared" si="5"/>
        <v>5222519.9185123835</v>
      </c>
      <c r="H30" s="36">
        <f t="shared" si="5"/>
        <v>4934731.0369272633</v>
      </c>
      <c r="I30" s="36">
        <f t="shared" si="5"/>
        <v>4646945.1233504191</v>
      </c>
      <c r="J30" s="36">
        <f t="shared" si="5"/>
        <v>4359161.0725058038</v>
      </c>
      <c r="K30" s="36">
        <f t="shared" si="5"/>
        <v>4071377.7230329481</v>
      </c>
      <c r="L30" s="36">
        <f t="shared" si="5"/>
        <v>3783593.8552736272</v>
      </c>
      <c r="M30" s="36">
        <f t="shared" si="5"/>
        <v>3495808.1889774469</v>
      </c>
      <c r="N30" s="36">
        <f t="shared" si="5"/>
        <v>3208019.380923484</v>
      </c>
      <c r="O30" s="36">
        <f t="shared" si="5"/>
        <v>2920226.0224549649</v>
      </c>
      <c r="P30" s="36">
        <f t="shared" si="5"/>
        <v>2632426.6369239055</v>
      </c>
      <c r="Q30" s="36">
        <f t="shared" si="5"/>
        <v>2344619.6770424931</v>
      </c>
      <c r="R30" s="36">
        <f t="shared" si="5"/>
        <v>1791646.8125</v>
      </c>
      <c r="S30" s="36">
        <f t="shared" si="5"/>
        <v>1501372.34375</v>
      </c>
      <c r="T30" s="36">
        <f t="shared" si="5"/>
        <v>1211097.875</v>
      </c>
      <c r="U30" s="36">
        <f t="shared" si="5"/>
        <v>920823.40625</v>
      </c>
      <c r="V30" s="36">
        <f t="shared" si="5"/>
        <v>630548.9375</v>
      </c>
      <c r="W30" s="36">
        <f t="shared" si="5"/>
        <v>340274.46875</v>
      </c>
      <c r="X30" s="36">
        <f t="shared" si="5"/>
        <v>50000</v>
      </c>
    </row>
    <row r="32" spans="2:24" ht="13.5" customHeight="1" x14ac:dyDescent="0.25">
      <c r="B32" s="16" t="s">
        <v>148</v>
      </c>
      <c r="C32" s="17" t="s">
        <v>20</v>
      </c>
      <c r="E32" s="45">
        <f>Debt!E32</f>
        <v>3568563.3457574141</v>
      </c>
      <c r="F32" s="45">
        <f>Debt!F32</f>
        <v>3441785.1978557729</v>
      </c>
      <c r="G32" s="45">
        <f>Debt!G32</f>
        <v>3298010.0277871462</v>
      </c>
      <c r="H32" s="45">
        <f>Debt!H32</f>
        <v>3135613.0809021587</v>
      </c>
      <c r="I32" s="45">
        <f>Debt!I32</f>
        <v>2952817.2497333372</v>
      </c>
      <c r="J32" s="45">
        <f>Debt!J32</f>
        <v>2747678.704257166</v>
      </c>
      <c r="K32" s="45">
        <f>Debt!K32</f>
        <v>2518071.1611499898</v>
      </c>
      <c r="L32" s="45">
        <f>Debt!L32</f>
        <v>2261668.6628933423</v>
      </c>
      <c r="M32" s="45">
        <f>Debt!M32</f>
        <v>1975926.7253209557</v>
      </c>
      <c r="N32" s="45">
        <f>Debt!N32</f>
        <v>1658061.6987715526</v>
      </c>
      <c r="O32" s="45">
        <f>Debt!O32</f>
        <v>1305028.1733078822</v>
      </c>
      <c r="P32" s="45">
        <f>Debt!P32</f>
        <v>913494.24236220145</v>
      </c>
      <c r="Q32" s="45">
        <f>Debt!Q32</f>
        <v>479814.42153880006</v>
      </c>
      <c r="R32" s="45">
        <f>Debt!R32</f>
        <v>0</v>
      </c>
      <c r="S32" s="45">
        <f>Debt!S32</f>
        <v>0</v>
      </c>
      <c r="T32" s="45">
        <f>Debt!T32</f>
        <v>0</v>
      </c>
      <c r="U32" s="45">
        <f>Debt!U32</f>
        <v>0</v>
      </c>
      <c r="V32" s="45">
        <f>Debt!V32</f>
        <v>0</v>
      </c>
      <c r="W32" s="45">
        <f>Debt!W32</f>
        <v>0</v>
      </c>
      <c r="X32" s="45">
        <f>Debt!X32</f>
        <v>0</v>
      </c>
    </row>
    <row r="33" spans="2:24" ht="13.5" customHeight="1" x14ac:dyDescent="0.25">
      <c r="B33" s="16" t="s">
        <v>185</v>
      </c>
      <c r="C33" s="17" t="s">
        <v>20</v>
      </c>
      <c r="E33" s="37">
        <f>Debt!$D$15</f>
        <v>2406084.627121293</v>
      </c>
      <c r="F33" s="37">
        <f>Debt!$D$15</f>
        <v>2406084.627121293</v>
      </c>
      <c r="G33" s="37">
        <f>Debt!$D$15</f>
        <v>2406084.627121293</v>
      </c>
      <c r="H33" s="37">
        <f>Debt!$D$15</f>
        <v>2406084.627121293</v>
      </c>
      <c r="I33" s="37">
        <f>Debt!$D$15</f>
        <v>2406084.627121293</v>
      </c>
      <c r="J33" s="37">
        <f>Debt!$D$15</f>
        <v>2406084.627121293</v>
      </c>
      <c r="K33" s="37">
        <f>Debt!$D$15</f>
        <v>2406084.627121293</v>
      </c>
      <c r="L33" s="37">
        <f>Debt!$D$15</f>
        <v>2406084.627121293</v>
      </c>
      <c r="M33" s="37">
        <f>Debt!$D$15</f>
        <v>2406084.627121293</v>
      </c>
      <c r="N33" s="37">
        <f>Debt!$D$15</f>
        <v>2406084.627121293</v>
      </c>
      <c r="O33" s="37">
        <f>Debt!$D$15</f>
        <v>2406084.627121293</v>
      </c>
      <c r="P33" s="37">
        <f>Debt!$D$15</f>
        <v>2406084.627121293</v>
      </c>
      <c r="Q33" s="37">
        <f>Debt!$D$15</f>
        <v>2406084.627121293</v>
      </c>
      <c r="R33" s="37">
        <f>Debt!$D$15</f>
        <v>2406084.627121293</v>
      </c>
      <c r="S33" s="37">
        <f>Debt!$D$15</f>
        <v>2406084.627121293</v>
      </c>
      <c r="T33" s="37">
        <f>Debt!$D$15</f>
        <v>2406084.627121293</v>
      </c>
      <c r="U33" s="37">
        <f>Debt!$D$15</f>
        <v>2406084.627121293</v>
      </c>
      <c r="V33" s="37">
        <f>Debt!$D$15</f>
        <v>2406084.627121293</v>
      </c>
      <c r="W33" s="37">
        <f>Debt!$D$15</f>
        <v>2406084.627121293</v>
      </c>
      <c r="X33" s="37">
        <f>Debt!$D$15</f>
        <v>2406084.627121293</v>
      </c>
    </row>
    <row r="34" spans="2:24" ht="13.5" customHeight="1" x14ac:dyDescent="0.25">
      <c r="B34" s="16" t="s">
        <v>186</v>
      </c>
      <c r="C34" s="17" t="s">
        <v>20</v>
      </c>
      <c r="E34" s="37">
        <f>E17-E24</f>
        <v>-176537.23375440936</v>
      </c>
      <c r="F34" s="37">
        <f t="shared" ref="F34:X34" si="6">E34+F17-F24</f>
        <v>-337557.00554460316</v>
      </c>
      <c r="G34" s="37">
        <f t="shared" si="6"/>
        <v>-481574.73639605555</v>
      </c>
      <c r="H34" s="37">
        <f t="shared" si="6"/>
        <v>-606966.67109618778</v>
      </c>
      <c r="I34" s="37">
        <f t="shared" si="6"/>
        <v>-711956.7535042105</v>
      </c>
      <c r="J34" s="37">
        <f t="shared" si="6"/>
        <v>-794602.25887265499</v>
      </c>
      <c r="K34" s="37">
        <f t="shared" si="6"/>
        <v>-852778.06523833401</v>
      </c>
      <c r="L34" s="37">
        <f t="shared" si="6"/>
        <v>-884159.43474100786</v>
      </c>
      <c r="M34" s="37">
        <f t="shared" si="6"/>
        <v>-886203.16346480127</v>
      </c>
      <c r="N34" s="37">
        <f t="shared" si="6"/>
        <v>-856126.94496936118</v>
      </c>
      <c r="O34" s="37">
        <f t="shared" si="6"/>
        <v>-790886.77797420998</v>
      </c>
      <c r="P34" s="37">
        <f t="shared" si="6"/>
        <v>-687152.23255958885</v>
      </c>
      <c r="Q34" s="37">
        <f t="shared" si="6"/>
        <v>-541279.37161759939</v>
      </c>
      <c r="R34" s="37">
        <f t="shared" si="6"/>
        <v>-614437.81462129205</v>
      </c>
      <c r="S34" s="37">
        <f t="shared" si="6"/>
        <v>-904712.28337129205</v>
      </c>
      <c r="T34" s="37">
        <f t="shared" si="6"/>
        <v>-1194986.7521212921</v>
      </c>
      <c r="U34" s="37">
        <f t="shared" si="6"/>
        <v>-1485261.2208712921</v>
      </c>
      <c r="V34" s="37">
        <f t="shared" si="6"/>
        <v>-1775535.6896212921</v>
      </c>
      <c r="W34" s="37">
        <f t="shared" si="6"/>
        <v>-2065810.1583712921</v>
      </c>
      <c r="X34" s="37">
        <f t="shared" si="6"/>
        <v>-2356084.6271212921</v>
      </c>
    </row>
    <row r="35" spans="2:24" ht="13.5" customHeight="1" x14ac:dyDescent="0.25">
      <c r="B35" s="33" t="s">
        <v>187</v>
      </c>
      <c r="C35" s="17" t="s">
        <v>20</v>
      </c>
      <c r="E35" s="36">
        <f t="shared" ref="E35:X35" si="7">SUM(E32:E34)</f>
        <v>5798110.7391242981</v>
      </c>
      <c r="F35" s="36">
        <f t="shared" si="7"/>
        <v>5510312.8194324635</v>
      </c>
      <c r="G35" s="36">
        <f t="shared" si="7"/>
        <v>5222519.9185123835</v>
      </c>
      <c r="H35" s="36">
        <f t="shared" si="7"/>
        <v>4934731.0369272633</v>
      </c>
      <c r="I35" s="36">
        <f t="shared" si="7"/>
        <v>4646945.12335042</v>
      </c>
      <c r="J35" s="36">
        <f t="shared" si="7"/>
        <v>4359161.0725058038</v>
      </c>
      <c r="K35" s="36">
        <f t="shared" si="7"/>
        <v>4071377.7230329486</v>
      </c>
      <c r="L35" s="36">
        <f t="shared" si="7"/>
        <v>3783593.8552736277</v>
      </c>
      <c r="M35" s="36">
        <f t="shared" si="7"/>
        <v>3495808.1889774473</v>
      </c>
      <c r="N35" s="36">
        <f t="shared" si="7"/>
        <v>3208019.3809234845</v>
      </c>
      <c r="O35" s="36">
        <f t="shared" si="7"/>
        <v>2920226.0224549649</v>
      </c>
      <c r="P35" s="36">
        <f t="shared" si="7"/>
        <v>2632426.6369239055</v>
      </c>
      <c r="Q35" s="36">
        <f t="shared" si="7"/>
        <v>2344619.6770424936</v>
      </c>
      <c r="R35" s="36">
        <f t="shared" si="7"/>
        <v>1791646.8125000009</v>
      </c>
      <c r="S35" s="36">
        <f t="shared" si="7"/>
        <v>1501372.3437500009</v>
      </c>
      <c r="T35" s="36">
        <f t="shared" si="7"/>
        <v>1211097.8750000009</v>
      </c>
      <c r="U35" s="36">
        <f t="shared" si="7"/>
        <v>920823.40625000093</v>
      </c>
      <c r="V35" s="36">
        <f t="shared" si="7"/>
        <v>630548.93750000093</v>
      </c>
      <c r="W35" s="36">
        <f t="shared" si="7"/>
        <v>340274.46875000093</v>
      </c>
      <c r="X35" s="36">
        <f t="shared" si="7"/>
        <v>50000.000000000931</v>
      </c>
    </row>
    <row r="36" spans="2:24" ht="13.5" customHeight="1" x14ac:dyDescent="0.25">
      <c r="B36" s="33" t="s">
        <v>188</v>
      </c>
      <c r="C36" s="17" t="s">
        <v>20</v>
      </c>
      <c r="E36" s="36">
        <f t="shared" ref="E36:X36" si="8">E30-E35</f>
        <v>0</v>
      </c>
      <c r="F36" s="36">
        <f t="shared" si="8"/>
        <v>0</v>
      </c>
      <c r="G36" s="36">
        <f t="shared" si="8"/>
        <v>0</v>
      </c>
      <c r="H36" s="36">
        <f t="shared" si="8"/>
        <v>0</v>
      </c>
      <c r="I36" s="36">
        <f t="shared" si="8"/>
        <v>0</v>
      </c>
      <c r="J36" s="36">
        <f t="shared" si="8"/>
        <v>0</v>
      </c>
      <c r="K36" s="36">
        <f t="shared" si="8"/>
        <v>0</v>
      </c>
      <c r="L36" s="36">
        <f t="shared" si="8"/>
        <v>0</v>
      </c>
      <c r="M36" s="36">
        <f t="shared" si="8"/>
        <v>0</v>
      </c>
      <c r="N36" s="36">
        <f t="shared" si="8"/>
        <v>0</v>
      </c>
      <c r="O36" s="36">
        <f t="shared" si="8"/>
        <v>0</v>
      </c>
      <c r="P36" s="36">
        <f t="shared" si="8"/>
        <v>0</v>
      </c>
      <c r="Q36" s="36">
        <f t="shared" si="8"/>
        <v>0</v>
      </c>
      <c r="R36" s="36">
        <f t="shared" si="8"/>
        <v>0</v>
      </c>
      <c r="S36" s="36">
        <f t="shared" si="8"/>
        <v>0</v>
      </c>
      <c r="T36" s="36">
        <f t="shared" si="8"/>
        <v>0</v>
      </c>
      <c r="U36" s="36">
        <f t="shared" si="8"/>
        <v>-9.3132257461547852E-10</v>
      </c>
      <c r="V36" s="36">
        <f t="shared" si="8"/>
        <v>-9.3132257461547852E-10</v>
      </c>
      <c r="W36" s="36">
        <f t="shared" si="8"/>
        <v>-9.3132257461547852E-10</v>
      </c>
      <c r="X36" s="36">
        <f t="shared" si="8"/>
        <v>-9.3132257461547852E-10</v>
      </c>
    </row>
  </sheetData>
  <pageMargins left="0.75" right="0.75" top="1" bottom="1" header="0.511811023622047" footer="0.511811023622047"/>
  <pageSetup paperSize="9" orientation="portrait" horizontalDpi="300" verticalDpi="300"/>
  <ignoredErrors>
    <ignoredError sqref="E12:X12 E14:X14 E16:X16"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X30"/>
  <sheetViews>
    <sheetView showGridLines="0" topLeftCell="A4" zoomScaleNormal="100" workbookViewId="0">
      <selection activeCell="I18" sqref="I18"/>
    </sheetView>
  </sheetViews>
  <sheetFormatPr defaultColWidth="8.7109375" defaultRowHeight="15" x14ac:dyDescent="0.25"/>
  <cols>
    <col min="1" max="1" width="2" customWidth="1"/>
    <col min="2" max="2" width="44" customWidth="1"/>
    <col min="3" max="3" width="11" customWidth="1"/>
    <col min="4" max="4" width="16" customWidth="1"/>
    <col min="5" max="24" width="12" customWidth="1"/>
  </cols>
  <sheetData>
    <row r="2" spans="2:24" ht="19.5" x14ac:dyDescent="0.3">
      <c r="B2" s="11" t="s">
        <v>0</v>
      </c>
    </row>
    <row r="3" spans="2:24" x14ac:dyDescent="0.25">
      <c r="B3" s="12" t="s">
        <v>189</v>
      </c>
    </row>
    <row r="4" spans="2:24" x14ac:dyDescent="0.25">
      <c r="B4" s="13" t="s">
        <v>190</v>
      </c>
    </row>
    <row r="6" spans="2:24" ht="15.75" customHeight="1" x14ac:dyDescent="0.25">
      <c r="B6" s="29" t="s">
        <v>100</v>
      </c>
      <c r="D6" s="30" t="s">
        <v>101</v>
      </c>
      <c r="E6" s="31" t="s">
        <v>102</v>
      </c>
      <c r="F6" s="31" t="s">
        <v>103</v>
      </c>
      <c r="G6" s="31" t="s">
        <v>104</v>
      </c>
      <c r="H6" s="31" t="s">
        <v>105</v>
      </c>
      <c r="I6" s="31" t="s">
        <v>106</v>
      </c>
      <c r="J6" s="31" t="s">
        <v>107</v>
      </c>
      <c r="K6" s="31" t="s">
        <v>108</v>
      </c>
      <c r="L6" s="31" t="s">
        <v>109</v>
      </c>
      <c r="M6" s="31" t="s">
        <v>110</v>
      </c>
      <c r="N6" s="31" t="s">
        <v>111</v>
      </c>
      <c r="O6" s="31" t="s">
        <v>112</v>
      </c>
      <c r="P6" s="31" t="s">
        <v>113</v>
      </c>
      <c r="Q6" s="31" t="s">
        <v>114</v>
      </c>
      <c r="R6" s="31" t="s">
        <v>115</v>
      </c>
      <c r="S6" s="31" t="s">
        <v>116</v>
      </c>
      <c r="T6" s="31" t="s">
        <v>117</v>
      </c>
      <c r="U6" s="31" t="s">
        <v>118</v>
      </c>
      <c r="V6" s="31" t="s">
        <v>119</v>
      </c>
      <c r="W6" s="31" t="s">
        <v>120</v>
      </c>
      <c r="X6" s="31" t="s">
        <v>121</v>
      </c>
    </row>
    <row r="8" spans="2:24" ht="16.5" customHeight="1" x14ac:dyDescent="0.25">
      <c r="B8" s="14" t="s">
        <v>191</v>
      </c>
      <c r="C8" s="15"/>
      <c r="D8" s="15"/>
      <c r="E8" s="15"/>
      <c r="F8" s="15"/>
      <c r="G8" s="15"/>
      <c r="H8" s="15"/>
      <c r="I8" s="15"/>
      <c r="J8" s="15"/>
      <c r="K8" s="15"/>
      <c r="L8" s="15"/>
      <c r="M8" s="15"/>
      <c r="N8" s="15"/>
      <c r="O8" s="15"/>
      <c r="P8" s="15"/>
      <c r="Q8" s="15"/>
      <c r="R8" s="15"/>
      <c r="S8" s="15"/>
      <c r="T8" s="15"/>
      <c r="U8" s="15"/>
      <c r="V8" s="15"/>
      <c r="W8" s="15"/>
      <c r="X8" s="15"/>
    </row>
    <row r="9" spans="2:24" ht="13.5" customHeight="1" x14ac:dyDescent="0.25">
      <c r="B9" s="16" t="s">
        <v>192</v>
      </c>
      <c r="C9" s="17" t="s">
        <v>20</v>
      </c>
      <c r="E9" s="45">
        <f>Model!E32</f>
        <v>1013401.625</v>
      </c>
      <c r="F9" s="45">
        <f>Model!F32</f>
        <v>1024267.14658125</v>
      </c>
      <c r="G9" s="45">
        <f>Model!G32</f>
        <v>1035158.9165449667</v>
      </c>
      <c r="H9" s="45">
        <f>Model!H32</f>
        <v>1046072.7588788157</v>
      </c>
      <c r="I9" s="45">
        <f>Model!I32</f>
        <v>1057004.2780972158</v>
      </c>
      <c r="J9" s="45">
        <f>Model!J32</f>
        <v>808096.55061735841</v>
      </c>
      <c r="K9" s="45">
        <f>Model!K32</f>
        <v>809003.80952155055</v>
      </c>
      <c r="L9" s="45">
        <f>Model!L32</f>
        <v>809146.03203651519</v>
      </c>
      <c r="M9" s="45">
        <f>Model!M32</f>
        <v>808446.70550655667</v>
      </c>
      <c r="N9" s="45">
        <f>Model!N32</f>
        <v>806822.28792258038</v>
      </c>
      <c r="O9" s="45">
        <f>Model!O32</f>
        <v>804181.55388605746</v>
      </c>
      <c r="P9" s="45">
        <f>Model!P32</f>
        <v>800424.8789982514</v>
      </c>
      <c r="Q9" s="45">
        <f>Model!Q32</f>
        <v>795443.45684578433</v>
      </c>
      <c r="R9" s="45">
        <f>Model!R32</f>
        <v>789118.44220058993</v>
      </c>
      <c r="S9" s="45">
        <f>Model!S32</f>
        <v>785022.63572523533</v>
      </c>
      <c r="T9" s="45">
        <f>Model!T32</f>
        <v>797788.92820544704</v>
      </c>
      <c r="U9" s="45">
        <f>Model!U32</f>
        <v>810707.85092706326</v>
      </c>
      <c r="V9" s="45">
        <f>Model!V32</f>
        <v>823778.86214862438</v>
      </c>
      <c r="W9" s="45">
        <f>Model!W32</f>
        <v>837001.28349172219</v>
      </c>
      <c r="X9" s="45">
        <f>Model!X32</f>
        <v>850374.29280518647</v>
      </c>
    </row>
    <row r="10" spans="2:24" ht="13.5" customHeight="1" x14ac:dyDescent="0.25">
      <c r="B10" s="16" t="s">
        <v>179</v>
      </c>
      <c r="C10" s="17" t="s">
        <v>20</v>
      </c>
      <c r="E10" s="45">
        <f>Debt!E30</f>
        <v>460850.5042425858</v>
      </c>
      <c r="F10" s="45">
        <f>Debt!F30</f>
        <v>465791.66574859561</v>
      </c>
      <c r="G10" s="45">
        <f>Debt!G30</f>
        <v>470744.76386492542</v>
      </c>
      <c r="H10" s="45">
        <f>Debt!H30</f>
        <v>475707.89952476649</v>
      </c>
      <c r="I10" s="45">
        <f>Debt!I30</f>
        <v>480679.07385452662</v>
      </c>
      <c r="J10" s="45">
        <f>Debt!J30</f>
        <v>485656.18420083803</v>
      </c>
      <c r="K10" s="45">
        <f>Debt!K30</f>
        <v>490637.02001160674</v>
      </c>
      <c r="L10" s="45">
        <f>Debt!L30</f>
        <v>495619.25856589648</v>
      </c>
      <c r="M10" s="45">
        <f>Debt!M30</f>
        <v>500600.46054725407</v>
      </c>
      <c r="N10" s="45">
        <f>Debt!N30</f>
        <v>505578.06545489392</v>
      </c>
      <c r="O10" s="45">
        <f>Debt!O30</f>
        <v>510549.38684696786</v>
      </c>
      <c r="P10" s="45">
        <f>Debt!P30</f>
        <v>515511.60740992951</v>
      </c>
      <c r="Q10" s="45">
        <f>Debt!Q30</f>
        <v>520461.77384781052</v>
      </c>
      <c r="R10" s="45">
        <f>Debt!R30</f>
        <v>525396.79158498661</v>
      </c>
      <c r="S10" s="45">
        <f>Debt!S30</f>
        <v>0</v>
      </c>
      <c r="T10" s="45">
        <f>Debt!T30</f>
        <v>0</v>
      </c>
      <c r="U10" s="45">
        <f>Debt!U30</f>
        <v>0</v>
      </c>
      <c r="V10" s="45">
        <f>Debt!V30</f>
        <v>0</v>
      </c>
      <c r="W10" s="45">
        <f>Debt!W30</f>
        <v>0</v>
      </c>
      <c r="X10" s="45">
        <f>Debt!X30</f>
        <v>0</v>
      </c>
    </row>
    <row r="11" spans="2:24" ht="13.5" customHeight="1" x14ac:dyDescent="0.25">
      <c r="B11" s="33" t="s">
        <v>193</v>
      </c>
      <c r="C11" s="17" t="s">
        <v>79</v>
      </c>
      <c r="E11" s="46">
        <f t="shared" ref="E11:X11" si="0">IFERROR(IF(E10=0,"",E9/E10),"")</f>
        <v>2.1989812654442891</v>
      </c>
      <c r="F11" s="46">
        <f t="shared" si="0"/>
        <v>2.1989812654442891</v>
      </c>
      <c r="G11" s="46">
        <f t="shared" si="0"/>
        <v>2.1989812654442891</v>
      </c>
      <c r="H11" s="46">
        <f t="shared" si="0"/>
        <v>2.1989812654442891</v>
      </c>
      <c r="I11" s="46">
        <f t="shared" si="0"/>
        <v>2.1989812654442891</v>
      </c>
      <c r="J11" s="46">
        <f t="shared" si="0"/>
        <v>1.6639272326926213</v>
      </c>
      <c r="K11" s="46">
        <f t="shared" si="0"/>
        <v>1.6488845654215256</v>
      </c>
      <c r="L11" s="46">
        <f t="shared" si="0"/>
        <v>1.6325960261871721</v>
      </c>
      <c r="M11" s="46">
        <f t="shared" si="0"/>
        <v>1.6149539787134166</v>
      </c>
      <c r="N11" s="46">
        <f t="shared" si="0"/>
        <v>1.5958411629203928</v>
      </c>
      <c r="O11" s="46">
        <f t="shared" si="0"/>
        <v>1.5751298005712873</v>
      </c>
      <c r="P11" s="46">
        <f t="shared" si="0"/>
        <v>1.5526806137689191</v>
      </c>
      <c r="Q11" s="46">
        <f t="shared" si="0"/>
        <v>1.5283417473006997</v>
      </c>
      <c r="R11" s="46">
        <f t="shared" si="0"/>
        <v>1.5019475848339749</v>
      </c>
      <c r="S11" s="46" t="str">
        <f t="shared" si="0"/>
        <v/>
      </c>
      <c r="T11" s="46" t="str">
        <f t="shared" si="0"/>
        <v/>
      </c>
      <c r="U11" s="46" t="str">
        <f t="shared" si="0"/>
        <v/>
      </c>
      <c r="V11" s="46" t="str">
        <f t="shared" si="0"/>
        <v/>
      </c>
      <c r="W11" s="46" t="str">
        <f t="shared" si="0"/>
        <v/>
      </c>
      <c r="X11" s="46" t="str">
        <f t="shared" si="0"/>
        <v/>
      </c>
    </row>
    <row r="12" spans="2:24" ht="13.5" customHeight="1" x14ac:dyDescent="0.25">
      <c r="B12" s="16" t="s">
        <v>194</v>
      </c>
      <c r="C12" s="17" t="s">
        <v>79</v>
      </c>
      <c r="E12" s="47">
        <f>IFERROR(IF(Debt!E28=0,"",NPV(Assumptions!$D$53,E9:X9)/Debt!E28),"")</f>
        <v>2.1686715287081966</v>
      </c>
      <c r="F12" s="47">
        <f>IFERROR(IF(Debt!F28=0,"",NPV(Assumptions!$D$53,F9:X9)/Debt!F28),"")</f>
        <v>2.1647572763593077</v>
      </c>
      <c r="G12" s="47">
        <f>IFERROR(IF(Debt!G28=0,"",NPV(Assumptions!$D$53,G9:X9)/Debt!G28),"")</f>
        <v>2.160125596005058</v>
      </c>
      <c r="H12" s="47">
        <f>IFERROR(IF(Debt!H28=0,"",NPV(Assumptions!$D$53,H9:X9)/Debt!H28),"")</f>
        <v>2.1545794931185069</v>
      </c>
      <c r="I12" s="47">
        <f>IFERROR(IF(Debt!I28=0,"",NPV(Assumptions!$D$53,I9:X9)/Debt!I28),"")</f>
        <v>2.1478432430445031</v>
      </c>
      <c r="J12" s="47">
        <f>IFERROR(IF(Debt!J28=0,"",NPV(Assumptions!$D$53,J9:X9)/Debt!J28),"")</f>
        <v>2.1395186583625008</v>
      </c>
      <c r="K12" s="47">
        <f>IFERROR(IF(Debt!K28=0,"",NPV(Assumptions!$D$53,K9:X9)/Debt!K28),"")</f>
        <v>2.2235801305686969</v>
      </c>
      <c r="L12" s="47">
        <f>IFERROR(IF(Debt!L28=0,"",NPV(Assumptions!$D$53,L9:X9)/Debt!L28),"")</f>
        <v>2.3355574741195926</v>
      </c>
      <c r="M12" s="47">
        <f>IFERROR(IF(Debt!M28=0,"",NPV(Assumptions!$D$53,M9:X9)/Debt!M28),"")</f>
        <v>2.4896035717380496</v>
      </c>
      <c r="N12" s="47">
        <f>IFERROR(IF(Debt!N28=0,"",NPV(Assumptions!$D$53,N9:X9)/Debt!N28),"")</f>
        <v>2.711195791466988</v>
      </c>
      <c r="O12" s="47">
        <f>IFERROR(IF(Debt!O28=0,"",NPV(Assumptions!$D$53,O9:X9)/Debt!O28),"")</f>
        <v>3.0512909977036053</v>
      </c>
      <c r="P12" s="47">
        <f>IFERROR(IF(Debt!P28=0,"",NPV(Assumptions!$D$53,P9:X9)/Debt!P28),"")</f>
        <v>3.6287905563322074</v>
      </c>
      <c r="Q12" s="47">
        <f>IFERROR(IF(Debt!Q28=0,"",NPV(Assumptions!$D$53,Q9:X9)/Debt!Q28),"")</f>
        <v>4.8004003202678369</v>
      </c>
      <c r="R12" s="47">
        <f>IFERROR(IF(Debt!R28=0,"",NPV(Assumptions!$D$53,R9:X9)/Debt!R28),"")</f>
        <v>8.3496504731890973</v>
      </c>
      <c r="S12" s="47" t="str">
        <f>IFERROR(IF(Debt!S28=0,"",NPV(Assumptions!$D$53,S9:X9)/Debt!S28),"")</f>
        <v/>
      </c>
      <c r="T12" s="47" t="str">
        <f>IFERROR(IF(Debt!T28=0,"",NPV(Assumptions!$D$53,T9:X9)/Debt!T28),"")</f>
        <v/>
      </c>
      <c r="U12" s="47" t="str">
        <f>IFERROR(IF(Debt!U28=0,"",NPV(Assumptions!$D$53,U9:X9)/Debt!U28),"")</f>
        <v/>
      </c>
      <c r="V12" s="47" t="str">
        <f>IFERROR(IF(Debt!V28=0,"",NPV(Assumptions!$D$53,V9:X9)/Debt!V28),"")</f>
        <v/>
      </c>
      <c r="W12" s="47" t="str">
        <f>IFERROR(IF(Debt!W28=0,"",NPV(Assumptions!$D$53,W9:X9)/Debt!W28),"")</f>
        <v/>
      </c>
      <c r="X12" s="47" t="str">
        <f>IFERROR(IF(Debt!X28=0,"",NPV(Assumptions!$D$53,X9:X9)/Debt!X28),"")</f>
        <v/>
      </c>
    </row>
    <row r="14" spans="2:24" ht="16.5" customHeight="1" x14ac:dyDescent="0.25">
      <c r="B14" s="14" t="s">
        <v>195</v>
      </c>
      <c r="C14" s="15"/>
      <c r="D14" s="15"/>
      <c r="E14" s="15"/>
      <c r="F14" s="15"/>
    </row>
    <row r="15" spans="2:24" ht="13.5" customHeight="1" x14ac:dyDescent="0.25">
      <c r="B15" s="16" t="s">
        <v>196</v>
      </c>
      <c r="C15" s="17"/>
      <c r="D15" s="48">
        <f>MIN(E11:X11)</f>
        <v>1.5019475848339749</v>
      </c>
      <c r="E15" s="49" t="s">
        <v>197</v>
      </c>
    </row>
    <row r="16" spans="2:24" ht="13.5" customHeight="1" x14ac:dyDescent="0.25">
      <c r="B16" s="16" t="s">
        <v>198</v>
      </c>
      <c r="C16" s="17"/>
      <c r="D16" s="48">
        <f>AVERAGE(E11:X11)</f>
        <v>1.8078006456879614</v>
      </c>
      <c r="E16" s="49"/>
    </row>
    <row r="17" spans="2:24" ht="13.5" customHeight="1" x14ac:dyDescent="0.25">
      <c r="B17" s="16" t="s">
        <v>199</v>
      </c>
      <c r="C17" s="17"/>
      <c r="D17" s="48">
        <f>E12</f>
        <v>2.1686715287081966</v>
      </c>
      <c r="E17" s="49"/>
    </row>
    <row r="19" spans="2:24" ht="13.5" customHeight="1" x14ac:dyDescent="0.25">
      <c r="B19" s="16" t="s">
        <v>200</v>
      </c>
      <c r="C19" s="17"/>
      <c r="D19" s="50">
        <f>IRR(D30:X30)</f>
        <v>0.15184688373705768</v>
      </c>
      <c r="E19" s="49" t="s">
        <v>201</v>
      </c>
    </row>
    <row r="20" spans="2:24" ht="13.5" customHeight="1" x14ac:dyDescent="0.25">
      <c r="B20" s="16" t="s">
        <v>202</v>
      </c>
      <c r="C20" s="17"/>
      <c r="D20" s="50">
        <f>IRR(Financials!D24:X24)</f>
        <v>0.19909562964159933</v>
      </c>
      <c r="E20" s="49" t="s">
        <v>203</v>
      </c>
    </row>
    <row r="21" spans="2:24" ht="13.5" customHeight="1" x14ac:dyDescent="0.25">
      <c r="B21" s="16" t="s">
        <v>204</v>
      </c>
      <c r="C21" s="17"/>
      <c r="D21" s="26">
        <f>Financials!D24+NPV(Assumptions!$D$71,Financials!E24:X24)</f>
        <v>220586.41769867809</v>
      </c>
      <c r="E21" s="49"/>
    </row>
    <row r="23" spans="2:24" ht="13.5" customHeight="1" x14ac:dyDescent="0.25">
      <c r="B23" s="16" t="s">
        <v>205</v>
      </c>
      <c r="C23" s="17"/>
      <c r="D23" s="26">
        <f>Debt!$D$12</f>
        <v>6085914.627121293</v>
      </c>
      <c r="E23" s="49"/>
    </row>
    <row r="24" spans="2:24" ht="13.5" customHeight="1" x14ac:dyDescent="0.25">
      <c r="B24" s="16" t="s">
        <v>148</v>
      </c>
      <c r="C24" s="17"/>
      <c r="D24" s="26">
        <f>Debt!$D$14</f>
        <v>3679830</v>
      </c>
      <c r="E24" s="49"/>
    </row>
    <row r="25" spans="2:24" ht="13.5" customHeight="1" x14ac:dyDescent="0.25">
      <c r="B25" s="16" t="s">
        <v>149</v>
      </c>
      <c r="C25" s="17"/>
      <c r="D25" s="26">
        <f>Debt!$D$15</f>
        <v>2406084.627121293</v>
      </c>
      <c r="E25" s="49"/>
    </row>
    <row r="26" spans="2:24" ht="13.5" customHeight="1" x14ac:dyDescent="0.25">
      <c r="B26" s="16" t="s">
        <v>206</v>
      </c>
      <c r="C26" s="17"/>
      <c r="D26" s="51">
        <f>Debt!$D$7/(Assumptions!$D$14*1000000)</f>
        <v>1.1151</v>
      </c>
      <c r="E26" s="49" t="s">
        <v>207</v>
      </c>
    </row>
    <row r="29" spans="2:24" ht="16.5" customHeight="1" x14ac:dyDescent="0.25">
      <c r="B29" s="14" t="s">
        <v>208</v>
      </c>
      <c r="C29" s="15"/>
      <c r="D29" s="15"/>
      <c r="E29" s="15"/>
      <c r="F29" s="15"/>
      <c r="G29" s="15"/>
      <c r="H29" s="15"/>
      <c r="I29" s="15"/>
      <c r="J29" s="15"/>
      <c r="K29" s="15"/>
      <c r="L29" s="15"/>
      <c r="M29" s="15"/>
      <c r="N29" s="15"/>
      <c r="O29" s="15"/>
      <c r="P29" s="15"/>
      <c r="Q29" s="15"/>
      <c r="R29" s="15"/>
      <c r="S29" s="15"/>
      <c r="T29" s="15"/>
      <c r="U29" s="15"/>
      <c r="V29" s="15"/>
      <c r="W29" s="15"/>
      <c r="X29" s="15"/>
    </row>
    <row r="30" spans="2:24" ht="13.5" customHeight="1" x14ac:dyDescent="0.25">
      <c r="B30" s="33" t="s">
        <v>209</v>
      </c>
      <c r="C30" s="17" t="s">
        <v>20</v>
      </c>
      <c r="D30" s="36">
        <f>-Debt!$D$7-Debt!$D$8</f>
        <v>-5750291.9249999998</v>
      </c>
      <c r="E30" s="36">
        <f>Model!E19+Model!E29</f>
        <v>1013401.625</v>
      </c>
      <c r="F30" s="36">
        <f>Model!F19+Model!F29</f>
        <v>1024267.14658125</v>
      </c>
      <c r="G30" s="36">
        <f>Model!G19+Model!G29</f>
        <v>1035158.9165449667</v>
      </c>
      <c r="H30" s="36">
        <f>Model!H19+Model!H29</f>
        <v>1046072.7588788157</v>
      </c>
      <c r="I30" s="36">
        <f>Model!I19+Model!I29</f>
        <v>1057004.2780972158</v>
      </c>
      <c r="J30" s="36">
        <f>Model!J19+Model!J29</f>
        <v>808096.55061735841</v>
      </c>
      <c r="K30" s="36">
        <f>Model!K19+Model!K29</f>
        <v>809003.80952155055</v>
      </c>
      <c r="L30" s="36">
        <f>Model!L19+Model!L29</f>
        <v>809146.03203651519</v>
      </c>
      <c r="M30" s="36">
        <f>Model!M19+Model!M29</f>
        <v>808446.70550655667</v>
      </c>
      <c r="N30" s="36">
        <f>Model!N19+Model!N29</f>
        <v>806822.28792258038</v>
      </c>
      <c r="O30" s="36">
        <f>Model!O19+Model!O29</f>
        <v>804181.55388605746</v>
      </c>
      <c r="P30" s="36">
        <f>Model!P19+Model!P29</f>
        <v>800424.8789982514</v>
      </c>
      <c r="Q30" s="36">
        <f>Model!Q19+Model!Q29</f>
        <v>795443.45684578433</v>
      </c>
      <c r="R30" s="36">
        <f>Model!R19+Model!R29</f>
        <v>789118.44220058993</v>
      </c>
      <c r="S30" s="36">
        <f>Model!S19+Model!S29</f>
        <v>785022.63572523533</v>
      </c>
      <c r="T30" s="36">
        <f>Model!T19+Model!T29</f>
        <v>797788.92820544704</v>
      </c>
      <c r="U30" s="36">
        <f>Model!U19+Model!U29</f>
        <v>810707.85092706326</v>
      </c>
      <c r="V30" s="36">
        <f>Model!V19+Model!V29</f>
        <v>823778.86214862438</v>
      </c>
      <c r="W30" s="36">
        <f>Model!W19+Model!W29</f>
        <v>837001.28349172219</v>
      </c>
      <c r="X30" s="36">
        <f>Model!X19+Model!X29</f>
        <v>850374.29280518647</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X64"/>
  <sheetViews>
    <sheetView showGridLines="0" zoomScaleNormal="100" workbookViewId="0">
      <selection activeCell="F11" sqref="F11"/>
    </sheetView>
  </sheetViews>
  <sheetFormatPr defaultColWidth="8.7109375" defaultRowHeight="15" x14ac:dyDescent="0.25"/>
  <cols>
    <col min="1" max="1" width="2" customWidth="1"/>
    <col min="2" max="2" width="44" customWidth="1"/>
    <col min="3" max="3" width="11" customWidth="1"/>
    <col min="4" max="5" width="14" customWidth="1"/>
    <col min="6" max="6" width="40" customWidth="1"/>
    <col min="7" max="24" width="12" customWidth="1"/>
  </cols>
  <sheetData>
    <row r="2" spans="2:24" ht="19.5" x14ac:dyDescent="0.3">
      <c r="B2" s="11" t="s">
        <v>0</v>
      </c>
    </row>
    <row r="3" spans="2:24" x14ac:dyDescent="0.25">
      <c r="B3" s="12" t="s">
        <v>210</v>
      </c>
    </row>
    <row r="4" spans="2:24" x14ac:dyDescent="0.25">
      <c r="B4" s="13" t="s">
        <v>211</v>
      </c>
    </row>
    <row r="6" spans="2:24" ht="15.75" customHeight="1" x14ac:dyDescent="0.25">
      <c r="B6" s="29" t="s">
        <v>100</v>
      </c>
      <c r="D6" s="30" t="s">
        <v>101</v>
      </c>
      <c r="E6" s="31" t="s">
        <v>102</v>
      </c>
      <c r="F6" s="31" t="s">
        <v>103</v>
      </c>
      <c r="G6" s="31" t="s">
        <v>104</v>
      </c>
      <c r="H6" s="31" t="s">
        <v>105</v>
      </c>
      <c r="I6" s="31" t="s">
        <v>106</v>
      </c>
      <c r="J6" s="31" t="s">
        <v>107</v>
      </c>
      <c r="K6" s="31" t="s">
        <v>108</v>
      </c>
      <c r="L6" s="31" t="s">
        <v>109</v>
      </c>
      <c r="M6" s="31" t="s">
        <v>110</v>
      </c>
      <c r="N6" s="31" t="s">
        <v>111</v>
      </c>
      <c r="O6" s="31" t="s">
        <v>112</v>
      </c>
      <c r="P6" s="31" t="s">
        <v>113</v>
      </c>
      <c r="Q6" s="31" t="s">
        <v>114</v>
      </c>
      <c r="R6" s="31" t="s">
        <v>115</v>
      </c>
      <c r="S6" s="31" t="s">
        <v>116</v>
      </c>
      <c r="T6" s="31" t="s">
        <v>117</v>
      </c>
      <c r="U6" s="31" t="s">
        <v>118</v>
      </c>
      <c r="V6" s="31" t="s">
        <v>119</v>
      </c>
      <c r="W6" s="31" t="s">
        <v>120</v>
      </c>
      <c r="X6" s="31" t="s">
        <v>121</v>
      </c>
    </row>
    <row r="8" spans="2:24" ht="16.5" customHeight="1" x14ac:dyDescent="0.25">
      <c r="B8" s="14" t="s">
        <v>212</v>
      </c>
      <c r="C8" s="15"/>
      <c r="D8" s="15"/>
      <c r="E8" s="15"/>
      <c r="F8" s="15"/>
      <c r="G8" s="15"/>
      <c r="H8" s="15"/>
      <c r="I8" s="15"/>
      <c r="J8" s="15"/>
      <c r="K8" s="15"/>
      <c r="L8" s="15"/>
      <c r="M8" s="15"/>
      <c r="N8" s="15"/>
      <c r="O8" s="15"/>
      <c r="P8" s="15"/>
      <c r="Q8" s="15"/>
      <c r="R8" s="15"/>
      <c r="S8" s="15"/>
      <c r="T8" s="15"/>
      <c r="U8" s="15"/>
      <c r="V8" s="15"/>
      <c r="W8" s="15"/>
      <c r="X8" s="15"/>
    </row>
    <row r="9" spans="2:24" ht="13.5" customHeight="1" x14ac:dyDescent="0.25">
      <c r="B9" s="16" t="s">
        <v>170</v>
      </c>
      <c r="C9" s="17" t="s">
        <v>20</v>
      </c>
      <c r="E9" s="37">
        <f>MAX(MIN(Model!E10*1,Assumptions!$D$35),Assumptions!$D$35*Assumptions!$D$36)*Model!E14*1</f>
        <v>1193766.875</v>
      </c>
      <c r="F9" s="37">
        <f>MAX(MIN(Model!F10*1,Assumptions!$D$35),Assumptions!$D$35*Assumptions!$D$36)*Model!F14*1</f>
        <v>1210945.18033125</v>
      </c>
      <c r="G9" s="37">
        <f>MAX(MIN(Model!G10*1,Assumptions!$D$35),Assumptions!$D$35*Assumptions!$D$36)*Model!G14*1</f>
        <v>1228370.6814762168</v>
      </c>
      <c r="H9" s="37">
        <f>MAX(MIN(Model!H10*1,Assumptions!$D$35),Assumptions!$D$35*Assumptions!$D$36)*Model!H14*1</f>
        <v>1246046.9355826594</v>
      </c>
      <c r="I9" s="37">
        <f>MAX(MIN(Model!I10*1,Assumptions!$D$35),Assumptions!$D$35*Assumptions!$D$36)*Model!I14*1</f>
        <v>1263977.5509856939</v>
      </c>
      <c r="J9" s="37">
        <f>MAX(MIN(Model!J10*1,Assumptions!$D$35),Assumptions!$D$35*Assumptions!$D$36)*Model!J14*1</f>
        <v>1282166.1879443785</v>
      </c>
      <c r="K9" s="37">
        <f>MAX(MIN(Model!K10*1,Assumptions!$D$35),Assumptions!$D$35*Assumptions!$D$36)*Model!K14*1</f>
        <v>1300616.5593888981</v>
      </c>
      <c r="L9" s="37">
        <f>MAX(MIN(Model!L10*1,Assumptions!$D$35),Assumptions!$D$35*Assumptions!$D$36)*Model!L14*1</f>
        <v>1319332.431678504</v>
      </c>
      <c r="M9" s="37">
        <f>MAX(MIN(Model!M10*1,Assumptions!$D$35),Assumptions!$D$35*Assumptions!$D$36)*Model!M14*1</f>
        <v>1338317.6253703581</v>
      </c>
      <c r="N9" s="37">
        <f>MAX(MIN(Model!N10*1,Assumptions!$D$35),Assumptions!$D$35*Assumptions!$D$36)*Model!N14*1</f>
        <v>1357576.0159994373</v>
      </c>
      <c r="O9" s="37">
        <f>MAX(MIN(Model!O10*1,Assumptions!$D$35),Assumptions!$D$35*Assumptions!$D$36)*Model!O14*1</f>
        <v>1377111.5348696697</v>
      </c>
      <c r="P9" s="37">
        <f>MAX(MIN(Model!P10*1,Assumptions!$D$35),Assumptions!$D$35*Assumptions!$D$36)*Model!P14*1</f>
        <v>1396928.169856444</v>
      </c>
      <c r="Q9" s="37">
        <f>MAX(MIN(Model!Q10*1,Assumptions!$D$35),Assumptions!$D$35*Assumptions!$D$36)*Model!Q14*1</f>
        <v>1417029.9662206783</v>
      </c>
      <c r="R9" s="37">
        <f>MAX(MIN(Model!R10*1,Assumptions!$D$35),Assumptions!$D$35*Assumptions!$D$36)*Model!R14*1</f>
        <v>1437421.027434594</v>
      </c>
      <c r="S9" s="37">
        <f>MAX(MIN(Model!S10*1,Assumptions!$D$35),Assumptions!$D$35*Assumptions!$D$36)*Model!S14*1</f>
        <v>1463631.8179274909</v>
      </c>
      <c r="T9" s="37">
        <f>MAX(MIN(Model!T10*1,Assumptions!$D$35),Assumptions!$D$35*Assumptions!$D$36)*Model!T14*1</f>
        <v>1492904.4542860403</v>
      </c>
      <c r="U9" s="37">
        <f>MAX(MIN(Model!U10*1,Assumptions!$D$35),Assumptions!$D$35*Assumptions!$D$36)*Model!U14*1</f>
        <v>1522762.5433717615</v>
      </c>
      <c r="V9" s="37">
        <f>MAX(MIN(Model!V10*1,Assumptions!$D$35),Assumptions!$D$35*Assumptions!$D$36)*Model!V14*1</f>
        <v>1553217.7942391969</v>
      </c>
      <c r="W9" s="37">
        <f>MAX(MIN(Model!W10*1,Assumptions!$D$35),Assumptions!$D$35*Assumptions!$D$36)*Model!W14*1</f>
        <v>1584282.1501239806</v>
      </c>
      <c r="X9" s="37">
        <f>MAX(MIN(Model!X10*1,Assumptions!$D$35),Assumptions!$D$35*Assumptions!$D$36)*Model!X14*1</f>
        <v>1615967.7931264602</v>
      </c>
    </row>
    <row r="10" spans="2:24" ht="13.5" customHeight="1" x14ac:dyDescent="0.25">
      <c r="B10" s="16" t="s">
        <v>171</v>
      </c>
      <c r="C10" s="17" t="s">
        <v>20</v>
      </c>
      <c r="E10" s="37">
        <f>Model!E18*1</f>
        <v>-180365.25</v>
      </c>
      <c r="F10" s="37">
        <f>Model!F18*1</f>
        <v>-186678.03374999997</v>
      </c>
      <c r="G10" s="37">
        <f>Model!G18*1</f>
        <v>-193211.76493124999</v>
      </c>
      <c r="H10" s="37">
        <f>Model!H18*1</f>
        <v>-199974.1767038437</v>
      </c>
      <c r="I10" s="37">
        <f>Model!I18*1</f>
        <v>-206973.27288847821</v>
      </c>
      <c r="J10" s="37">
        <f>Model!J18*1</f>
        <v>-214217.33743957494</v>
      </c>
      <c r="K10" s="37">
        <f>Model!K18*1</f>
        <v>-221714.94424996007</v>
      </c>
      <c r="L10" s="37">
        <f>Model!L18*1</f>
        <v>-229474.96729870865</v>
      </c>
      <c r="M10" s="37">
        <f>Model!M18*1</f>
        <v>-237506.59115416341</v>
      </c>
      <c r="N10" s="37">
        <f>Model!N18*1</f>
        <v>-245819.32184455908</v>
      </c>
      <c r="O10" s="37">
        <f>Model!O18*1</f>
        <v>-254422.99810911863</v>
      </c>
      <c r="P10" s="37">
        <f>Model!P18*1</f>
        <v>-263327.80304293783</v>
      </c>
      <c r="Q10" s="37">
        <f>Model!Q18*1</f>
        <v>-272544.27614944061</v>
      </c>
      <c r="R10" s="37">
        <f>Model!R18*1</f>
        <v>-282083.32581467094</v>
      </c>
      <c r="S10" s="37">
        <f>Model!S18*1</f>
        <v>-291956.24221818452</v>
      </c>
      <c r="T10" s="37">
        <f>Model!T18*1</f>
        <v>-302174.71069582092</v>
      </c>
      <c r="U10" s="37">
        <f>Model!U18*1</f>
        <v>-312750.82557017455</v>
      </c>
      <c r="V10" s="37">
        <f>Model!V18*1</f>
        <v>-323697.10446513066</v>
      </c>
      <c r="W10" s="37">
        <f>Model!W18*1</f>
        <v>-335026.50312141021</v>
      </c>
      <c r="X10" s="37">
        <f>Model!X18*1</f>
        <v>-346752.43073065951</v>
      </c>
    </row>
    <row r="11" spans="2:24" ht="13.5" customHeight="1" x14ac:dyDescent="0.25">
      <c r="B11" s="16" t="s">
        <v>130</v>
      </c>
      <c r="C11" s="17" t="s">
        <v>20</v>
      </c>
      <c r="E11" s="37">
        <f t="shared" ref="E11:X11" si="0">E9+E10</f>
        <v>1013401.625</v>
      </c>
      <c r="F11" s="37">
        <f t="shared" si="0"/>
        <v>1024267.14658125</v>
      </c>
      <c r="G11" s="37">
        <f t="shared" si="0"/>
        <v>1035158.9165449667</v>
      </c>
      <c r="H11" s="37">
        <f t="shared" si="0"/>
        <v>1046072.7588788157</v>
      </c>
      <c r="I11" s="37">
        <f t="shared" si="0"/>
        <v>1057004.2780972158</v>
      </c>
      <c r="J11" s="37">
        <f t="shared" si="0"/>
        <v>1067948.8505048035</v>
      </c>
      <c r="K11" s="37">
        <f t="shared" si="0"/>
        <v>1078901.615138938</v>
      </c>
      <c r="L11" s="37">
        <f t="shared" si="0"/>
        <v>1089857.4643797954</v>
      </c>
      <c r="M11" s="37">
        <f t="shared" si="0"/>
        <v>1100811.0342161946</v>
      </c>
      <c r="N11" s="37">
        <f t="shared" si="0"/>
        <v>1111756.6941548781</v>
      </c>
      <c r="O11" s="37">
        <f t="shared" si="0"/>
        <v>1122688.5367605512</v>
      </c>
      <c r="P11" s="37">
        <f t="shared" si="0"/>
        <v>1133600.3668135062</v>
      </c>
      <c r="Q11" s="37">
        <f t="shared" si="0"/>
        <v>1144485.6900712377</v>
      </c>
      <c r="R11" s="37">
        <f t="shared" si="0"/>
        <v>1155337.7016199231</v>
      </c>
      <c r="S11" s="37">
        <f t="shared" si="0"/>
        <v>1171675.5757093064</v>
      </c>
      <c r="T11" s="37">
        <f t="shared" si="0"/>
        <v>1190729.7435902194</v>
      </c>
      <c r="U11" s="37">
        <f t="shared" si="0"/>
        <v>1210011.717801587</v>
      </c>
      <c r="V11" s="37">
        <f t="shared" si="0"/>
        <v>1229520.6897740662</v>
      </c>
      <c r="W11" s="37">
        <f t="shared" si="0"/>
        <v>1249255.6470025703</v>
      </c>
      <c r="X11" s="37">
        <f t="shared" si="0"/>
        <v>1269215.3623958007</v>
      </c>
    </row>
    <row r="12" spans="2:24" ht="13.5" customHeight="1" x14ac:dyDescent="0.25">
      <c r="B12" s="16" t="s">
        <v>138</v>
      </c>
      <c r="C12" s="17" t="s">
        <v>20</v>
      </c>
      <c r="E12" s="37">
        <f>IF(Model!E27=1,0,-MAX(0,E11-Debt!E29-Model!E25)*(Assumptions!$D$62+Assumptions!$D$63))</f>
        <v>0</v>
      </c>
      <c r="F12" s="37">
        <f>IF(Model!F27=1,0,-MAX(0,F11-Debt!F29-Model!F25)*(Assumptions!$D$62+Assumptions!$D$63))</f>
        <v>0</v>
      </c>
      <c r="G12" s="37">
        <f>IF(Model!G27=1,0,-MAX(0,G11-Debt!G29-Model!G25)*(Assumptions!$D$62+Assumptions!$D$63))</f>
        <v>0</v>
      </c>
      <c r="H12" s="37">
        <f>IF(Model!H27=1,0,-MAX(0,H11-Debt!H29-Model!H25)*(Assumptions!$D$62+Assumptions!$D$63))</f>
        <v>0</v>
      </c>
      <c r="I12" s="37">
        <f>IF(Model!I27=1,0,-MAX(0,I11-Debt!I29-Model!I25)*(Assumptions!$D$62+Assumptions!$D$63))</f>
        <v>0</v>
      </c>
      <c r="J12" s="37">
        <f>IF(Model!J27=1,0,-MAX(0,J11-Debt!J29-Model!J25)*(Assumptions!$D$62+Assumptions!$D$63))</f>
        <v>-259852.299887445</v>
      </c>
      <c r="K12" s="37">
        <f>IF(Model!K27=1,0,-MAX(0,K11-Debt!K29-Model!K25)*(Assumptions!$D$62+Assumptions!$D$63))</f>
        <v>-269897.80561738735</v>
      </c>
      <c r="L12" s="37">
        <f>IF(Model!L27=1,0,-MAX(0,L11-Debt!L29-Model!L25)*(Assumptions!$D$62+Assumptions!$D$63))</f>
        <v>-280711.43234328023</v>
      </c>
      <c r="M12" s="37">
        <f>IF(Model!M27=1,0,-MAX(0,M11-Debt!M29-Model!M25)*(Assumptions!$D$62+Assumptions!$D$63))</f>
        <v>-292364.32870963792</v>
      </c>
      <c r="N12" s="37">
        <f>IF(Model!N27=1,0,-MAX(0,N11-Debt!N29-Model!N25)*(Assumptions!$D$62+Assumptions!$D$63))</f>
        <v>-304934.40623229777</v>
      </c>
      <c r="O12" s="37">
        <f>IF(Model!O27=1,0,-MAX(0,O11-Debt!O29-Model!O25)*(Assumptions!$D$62+Assumptions!$D$63))</f>
        <v>-318506.9828744937</v>
      </c>
      <c r="P12" s="37">
        <f>IF(Model!P27=1,0,-MAX(0,P11-Debt!P29-Model!P25)*(Assumptions!$D$62+Assumptions!$D$63))</f>
        <v>-333175.48781525489</v>
      </c>
      <c r="Q12" s="37">
        <f>IF(Model!Q27=1,0,-MAX(0,Q11-Debt!Q29-Model!Q25)*(Assumptions!$D$62+Assumptions!$D$63))</f>
        <v>-349042.23322545335</v>
      </c>
      <c r="R12" s="37">
        <f>IF(Model!R27=1,0,-MAX(0,R11-Debt!R29-Model!R25)*(Assumptions!$D$62+Assumptions!$D$63))</f>
        <v>-366219.25941933319</v>
      </c>
      <c r="S12" s="37">
        <f>IF(Model!S27=1,0,-MAX(0,S11-Debt!S29-Model!S25)*(Assumptions!$D$62+Assumptions!$D$63))</f>
        <v>-386652.93998407107</v>
      </c>
      <c r="T12" s="37">
        <f>IF(Model!T27=1,0,-MAX(0,T11-Debt!T29-Model!T25)*(Assumptions!$D$62+Assumptions!$D$63))</f>
        <v>-392940.81538477237</v>
      </c>
      <c r="U12" s="37">
        <f>IF(Model!U27=1,0,-MAX(0,U11-Debt!U29-Model!U25)*(Assumptions!$D$62+Assumptions!$D$63))</f>
        <v>-399303.86687452364</v>
      </c>
      <c r="V12" s="37">
        <f>IF(Model!V27=1,0,-MAX(0,V11-Debt!V29-Model!V25)*(Assumptions!$D$62+Assumptions!$D$63))</f>
        <v>-405741.82762544177</v>
      </c>
      <c r="W12" s="37">
        <f>IF(Model!W27=1,0,-MAX(0,W11-Debt!W29-Model!W25)*(Assumptions!$D$62+Assumptions!$D$63))</f>
        <v>-412254.36351084814</v>
      </c>
      <c r="X12" s="37">
        <f>IF(Model!X27=1,0,-MAX(0,X11-Debt!X29-Model!X25)*(Assumptions!$D$62+Assumptions!$D$63))</f>
        <v>-418841.06959061418</v>
      </c>
    </row>
    <row r="13" spans="2:24" ht="13.5" customHeight="1" x14ac:dyDescent="0.25">
      <c r="B13" s="16" t="s">
        <v>192</v>
      </c>
      <c r="C13" s="17" t="s">
        <v>20</v>
      </c>
      <c r="E13" s="37">
        <f t="shared" ref="E13:X13" si="1">E11+E12</f>
        <v>1013401.625</v>
      </c>
      <c r="F13" s="37">
        <f t="shared" si="1"/>
        <v>1024267.14658125</v>
      </c>
      <c r="G13" s="37">
        <f t="shared" si="1"/>
        <v>1035158.9165449667</v>
      </c>
      <c r="H13" s="37">
        <f t="shared" si="1"/>
        <v>1046072.7588788157</v>
      </c>
      <c r="I13" s="37">
        <f t="shared" si="1"/>
        <v>1057004.2780972158</v>
      </c>
      <c r="J13" s="37">
        <f t="shared" si="1"/>
        <v>808096.55061735841</v>
      </c>
      <c r="K13" s="37">
        <f t="shared" si="1"/>
        <v>809003.80952155055</v>
      </c>
      <c r="L13" s="37">
        <f t="shared" si="1"/>
        <v>809146.03203651519</v>
      </c>
      <c r="M13" s="37">
        <f t="shared" si="1"/>
        <v>808446.70550655667</v>
      </c>
      <c r="N13" s="37">
        <f t="shared" si="1"/>
        <v>806822.28792258038</v>
      </c>
      <c r="O13" s="37">
        <f t="shared" si="1"/>
        <v>804181.55388605746</v>
      </c>
      <c r="P13" s="37">
        <f t="shared" si="1"/>
        <v>800424.8789982514</v>
      </c>
      <c r="Q13" s="37">
        <f t="shared" si="1"/>
        <v>795443.45684578433</v>
      </c>
      <c r="R13" s="37">
        <f t="shared" si="1"/>
        <v>789118.44220058993</v>
      </c>
      <c r="S13" s="37">
        <f t="shared" si="1"/>
        <v>785022.63572523533</v>
      </c>
      <c r="T13" s="37">
        <f t="shared" si="1"/>
        <v>797788.92820544704</v>
      </c>
      <c r="U13" s="37">
        <f t="shared" si="1"/>
        <v>810707.85092706326</v>
      </c>
      <c r="V13" s="37">
        <f t="shared" si="1"/>
        <v>823778.86214862438</v>
      </c>
      <c r="W13" s="37">
        <f t="shared" si="1"/>
        <v>837001.28349172219</v>
      </c>
      <c r="X13" s="37">
        <f t="shared" si="1"/>
        <v>850374.29280518647</v>
      </c>
    </row>
    <row r="14" spans="2:24" ht="13.5" customHeight="1" x14ac:dyDescent="0.25">
      <c r="B14" s="16" t="s">
        <v>179</v>
      </c>
      <c r="C14" s="17" t="s">
        <v>20</v>
      </c>
      <c r="E14" s="45">
        <f>Debt!E30</f>
        <v>460850.5042425858</v>
      </c>
      <c r="F14" s="45">
        <f>Debt!F30</f>
        <v>465791.66574859561</v>
      </c>
      <c r="G14" s="45">
        <f>Debt!G30</f>
        <v>470744.76386492542</v>
      </c>
      <c r="H14" s="45">
        <f>Debt!H30</f>
        <v>475707.89952476649</v>
      </c>
      <c r="I14" s="45">
        <f>Debt!I30</f>
        <v>480679.07385452662</v>
      </c>
      <c r="J14" s="45">
        <f>Debt!J30</f>
        <v>485656.18420083803</v>
      </c>
      <c r="K14" s="45">
        <f>Debt!K30</f>
        <v>490637.02001160674</v>
      </c>
      <c r="L14" s="45">
        <f>Debt!L30</f>
        <v>495619.25856589648</v>
      </c>
      <c r="M14" s="45">
        <f>Debt!M30</f>
        <v>500600.46054725407</v>
      </c>
      <c r="N14" s="45">
        <f>Debt!N30</f>
        <v>505578.06545489392</v>
      </c>
      <c r="O14" s="45">
        <f>Debt!O30</f>
        <v>510549.38684696786</v>
      </c>
      <c r="P14" s="45">
        <f>Debt!P30</f>
        <v>515511.60740992951</v>
      </c>
      <c r="Q14" s="45">
        <f>Debt!Q30</f>
        <v>520461.77384781052</v>
      </c>
      <c r="R14" s="45">
        <f>Debt!R30</f>
        <v>525396.79158498661</v>
      </c>
      <c r="S14" s="45">
        <f>Debt!S30</f>
        <v>0</v>
      </c>
      <c r="T14" s="45">
        <f>Debt!T30</f>
        <v>0</v>
      </c>
      <c r="U14" s="45">
        <f>Debt!U30</f>
        <v>0</v>
      </c>
      <c r="V14" s="45">
        <f>Debt!V30</f>
        <v>0</v>
      </c>
      <c r="W14" s="45">
        <f>Debt!W30</f>
        <v>0</v>
      </c>
      <c r="X14" s="45">
        <f>Debt!X30</f>
        <v>0</v>
      </c>
    </row>
    <row r="15" spans="2:24" ht="13.5" customHeight="1" x14ac:dyDescent="0.25">
      <c r="B15" s="33" t="s">
        <v>193</v>
      </c>
      <c r="C15" s="17" t="s">
        <v>79</v>
      </c>
      <c r="E15" s="46">
        <f t="shared" ref="E15:X15" si="2">IFERROR(IF(E14=0,"",E13/E14),"")</f>
        <v>2.1989812654442891</v>
      </c>
      <c r="F15" s="46">
        <f t="shared" si="2"/>
        <v>2.1989812654442891</v>
      </c>
      <c r="G15" s="46">
        <f t="shared" si="2"/>
        <v>2.1989812654442891</v>
      </c>
      <c r="H15" s="46">
        <f t="shared" si="2"/>
        <v>2.1989812654442891</v>
      </c>
      <c r="I15" s="46">
        <f t="shared" si="2"/>
        <v>2.1989812654442891</v>
      </c>
      <c r="J15" s="46">
        <f t="shared" si="2"/>
        <v>1.6639272326926213</v>
      </c>
      <c r="K15" s="46">
        <f t="shared" si="2"/>
        <v>1.6488845654215256</v>
      </c>
      <c r="L15" s="46">
        <f t="shared" si="2"/>
        <v>1.6325960261871721</v>
      </c>
      <c r="M15" s="46">
        <f t="shared" si="2"/>
        <v>1.6149539787134166</v>
      </c>
      <c r="N15" s="46">
        <f t="shared" si="2"/>
        <v>1.5958411629203928</v>
      </c>
      <c r="O15" s="46">
        <f t="shared" si="2"/>
        <v>1.5751298005712873</v>
      </c>
      <c r="P15" s="46">
        <f t="shared" si="2"/>
        <v>1.5526806137689191</v>
      </c>
      <c r="Q15" s="46">
        <f t="shared" si="2"/>
        <v>1.5283417473006997</v>
      </c>
      <c r="R15" s="46">
        <f t="shared" si="2"/>
        <v>1.5019475848339749</v>
      </c>
      <c r="S15" s="46" t="str">
        <f t="shared" si="2"/>
        <v/>
      </c>
      <c r="T15" s="46" t="str">
        <f t="shared" si="2"/>
        <v/>
      </c>
      <c r="U15" s="46" t="str">
        <f t="shared" si="2"/>
        <v/>
      </c>
      <c r="V15" s="46" t="str">
        <f t="shared" si="2"/>
        <v/>
      </c>
      <c r="W15" s="46" t="str">
        <f t="shared" si="2"/>
        <v/>
      </c>
      <c r="X15" s="46" t="str">
        <f t="shared" si="2"/>
        <v/>
      </c>
    </row>
    <row r="16" spans="2:24" ht="13.5" customHeight="1" x14ac:dyDescent="0.25">
      <c r="B16" s="16" t="s">
        <v>180</v>
      </c>
      <c r="C16" s="17" t="s">
        <v>20</v>
      </c>
      <c r="D16" s="37">
        <f>-Debt!$D$15</f>
        <v>-2406084.627121293</v>
      </c>
      <c r="E16" s="37">
        <f>E13-E14-Debt!E36</f>
        <v>550080.54000440938</v>
      </c>
      <c r="F16" s="37">
        <f>F13-F14-Debt!F36</f>
        <v>555998.93177448947</v>
      </c>
      <c r="G16" s="37">
        <f>G13-G14-Debt!G36</f>
        <v>561932.58485012071</v>
      </c>
      <c r="H16" s="37">
        <f>H13-H14-Debt!H36</f>
        <v>567879.27218916907</v>
      </c>
      <c r="I16" s="37">
        <f>I13-I14-Debt!I36</f>
        <v>573836.64906953345</v>
      </c>
      <c r="J16" s="37">
        <f>J13-J14-Debt!J36</f>
        <v>319949.948511136</v>
      </c>
      <c r="K16" s="37">
        <f>K13-K14-Debt!K36</f>
        <v>315875.67023279896</v>
      </c>
      <c r="L16" s="37">
        <f>L13-L14-Debt!L36</f>
        <v>311036.17247993988</v>
      </c>
      <c r="M16" s="37">
        <f>M13-M14-Debt!M36</f>
        <v>305357.4425054827</v>
      </c>
      <c r="N16" s="37">
        <f>N13-N14-Debt!N36</f>
        <v>298758.56177164952</v>
      </c>
      <c r="O16" s="37">
        <f>O13-O14-Debt!O36</f>
        <v>291151.05675760872</v>
      </c>
      <c r="P16" s="37">
        <f>P13-P14-Debt!P36</f>
        <v>282438.18836938142</v>
      </c>
      <c r="Q16" s="37">
        <f>Q13-Q14-Debt!Q36</f>
        <v>272514.17412938573</v>
      </c>
      <c r="R16" s="37">
        <f>R13-R14-Debt!R36</f>
        <v>526420.04640809656</v>
      </c>
      <c r="S16" s="37">
        <f>S13-S14-Debt!S36</f>
        <v>785022.63572523533</v>
      </c>
      <c r="T16" s="37">
        <f>T13-T14-Debt!T36</f>
        <v>797788.92820544704</v>
      </c>
      <c r="U16" s="37">
        <f>U13-U14-Debt!U36</f>
        <v>810707.85092706326</v>
      </c>
      <c r="V16" s="37">
        <f>V13-V14-Debt!V36</f>
        <v>823778.86214862438</v>
      </c>
      <c r="W16" s="37">
        <f>W13-W14-Debt!W36</f>
        <v>837001.28349172219</v>
      </c>
      <c r="X16" s="37">
        <f>X13-X14-Debt!X36</f>
        <v>850374.29280518647</v>
      </c>
    </row>
    <row r="18" spans="2:24" ht="16.5" customHeight="1" x14ac:dyDescent="0.25">
      <c r="B18" s="14" t="s">
        <v>213</v>
      </c>
      <c r="C18" s="15"/>
      <c r="D18" s="15"/>
      <c r="E18" s="15"/>
      <c r="F18" s="15"/>
      <c r="G18" s="15"/>
      <c r="H18" s="15"/>
      <c r="I18" s="15"/>
      <c r="J18" s="15"/>
      <c r="K18" s="15"/>
      <c r="L18" s="15"/>
      <c r="M18" s="15"/>
      <c r="N18" s="15"/>
      <c r="O18" s="15"/>
      <c r="P18" s="15"/>
      <c r="Q18" s="15"/>
      <c r="R18" s="15"/>
      <c r="S18" s="15"/>
      <c r="T18" s="15"/>
      <c r="U18" s="15"/>
      <c r="V18" s="15"/>
      <c r="W18" s="15"/>
      <c r="X18" s="15"/>
    </row>
    <row r="19" spans="2:24" ht="13.5" customHeight="1" x14ac:dyDescent="0.25">
      <c r="B19" s="16" t="s">
        <v>170</v>
      </c>
      <c r="C19" s="17" t="s">
        <v>20</v>
      </c>
      <c r="E19" s="37">
        <f>MAX(MIN(Model!E10*1,Assumptions!$D$35),Assumptions!$D$35*Assumptions!$D$36)*Model!E14*0.9</f>
        <v>1074390.1875</v>
      </c>
      <c r="F19" s="37">
        <f>MAX(MIN(Model!F10*1,Assumptions!$D$35),Assumptions!$D$35*Assumptions!$D$36)*Model!F14*0.9</f>
        <v>1089850.662298125</v>
      </c>
      <c r="G19" s="37">
        <f>MAX(MIN(Model!G10*1,Assumptions!$D$35),Assumptions!$D$35*Assumptions!$D$36)*Model!G14*0.9</f>
        <v>1105533.6133285952</v>
      </c>
      <c r="H19" s="37">
        <f>MAX(MIN(Model!H10*1,Assumptions!$D$35),Assumptions!$D$35*Assumptions!$D$36)*Model!H14*0.9</f>
        <v>1121442.2420243935</v>
      </c>
      <c r="I19" s="37">
        <f>MAX(MIN(Model!I10*1,Assumptions!$D$35),Assumptions!$D$35*Assumptions!$D$36)*Model!I14*0.9</f>
        <v>1137579.7958871245</v>
      </c>
      <c r="J19" s="37">
        <f>MAX(MIN(Model!J10*1,Assumptions!$D$35),Assumptions!$D$35*Assumptions!$D$36)*Model!J14*0.9</f>
        <v>1153949.5691499407</v>
      </c>
      <c r="K19" s="37">
        <f>MAX(MIN(Model!K10*1,Assumptions!$D$35),Assumptions!$D$35*Assumptions!$D$36)*Model!K14*0.9</f>
        <v>1170554.9034500082</v>
      </c>
      <c r="L19" s="37">
        <f>MAX(MIN(Model!L10*1,Assumptions!$D$35),Assumptions!$D$35*Assumptions!$D$36)*Model!L14*0.9</f>
        <v>1187399.1885106536</v>
      </c>
      <c r="M19" s="37">
        <f>MAX(MIN(Model!M10*1,Assumptions!$D$35),Assumptions!$D$35*Assumptions!$D$36)*Model!M14*0.9</f>
        <v>1204485.8628333223</v>
      </c>
      <c r="N19" s="37">
        <f>MAX(MIN(Model!N10*1,Assumptions!$D$35),Assumptions!$D$35*Assumptions!$D$36)*Model!N14*0.9</f>
        <v>1221818.4143994937</v>
      </c>
      <c r="O19" s="37">
        <f>MAX(MIN(Model!O10*1,Assumptions!$D$35),Assumptions!$D$35*Assumptions!$D$36)*Model!O14*0.9</f>
        <v>1239400.3813827028</v>
      </c>
      <c r="P19" s="37">
        <f>MAX(MIN(Model!P10*1,Assumptions!$D$35),Assumptions!$D$35*Assumptions!$D$36)*Model!P14*0.9</f>
        <v>1257235.3528707996</v>
      </c>
      <c r="Q19" s="37">
        <f>MAX(MIN(Model!Q10*1,Assumptions!$D$35),Assumptions!$D$35*Assumptions!$D$36)*Model!Q14*0.9</f>
        <v>1275326.9695986104</v>
      </c>
      <c r="R19" s="37">
        <f>MAX(MIN(Model!R10*1,Assumptions!$D$35),Assumptions!$D$35*Assumptions!$D$36)*Model!R14*0.9</f>
        <v>1293678.9246911346</v>
      </c>
      <c r="S19" s="37">
        <f>MAX(MIN(Model!S10*1,Assumptions!$D$35),Assumptions!$D$35*Assumptions!$D$36)*Model!S14*0.9</f>
        <v>1317268.6361347418</v>
      </c>
      <c r="T19" s="37">
        <f>MAX(MIN(Model!T10*1,Assumptions!$D$35),Assumptions!$D$35*Assumptions!$D$36)*Model!T14*0.9</f>
        <v>1343614.0088574362</v>
      </c>
      <c r="U19" s="37">
        <f>MAX(MIN(Model!U10*1,Assumptions!$D$35),Assumptions!$D$35*Assumptions!$D$36)*Model!U14*0.9</f>
        <v>1370486.2890345852</v>
      </c>
      <c r="V19" s="37">
        <f>MAX(MIN(Model!V10*1,Assumptions!$D$35),Assumptions!$D$35*Assumptions!$D$36)*Model!V14*0.9</f>
        <v>1397896.0148152772</v>
      </c>
      <c r="W19" s="37">
        <f>MAX(MIN(Model!W10*1,Assumptions!$D$35),Assumptions!$D$35*Assumptions!$D$36)*Model!W14*0.9</f>
        <v>1425853.9351115825</v>
      </c>
      <c r="X19" s="37">
        <f>MAX(MIN(Model!X10*1,Assumptions!$D$35),Assumptions!$D$35*Assumptions!$D$36)*Model!X14*0.9</f>
        <v>1454371.0138138141</v>
      </c>
    </row>
    <row r="20" spans="2:24" ht="13.5" customHeight="1" x14ac:dyDescent="0.25">
      <c r="B20" s="16" t="s">
        <v>171</v>
      </c>
      <c r="C20" s="17" t="s">
        <v>20</v>
      </c>
      <c r="E20" s="37">
        <f>Model!E18*1</f>
        <v>-180365.25</v>
      </c>
      <c r="F20" s="37">
        <f>Model!F18*1</f>
        <v>-186678.03374999997</v>
      </c>
      <c r="G20" s="37">
        <f>Model!G18*1</f>
        <v>-193211.76493124999</v>
      </c>
      <c r="H20" s="37">
        <f>Model!H18*1</f>
        <v>-199974.1767038437</v>
      </c>
      <c r="I20" s="37">
        <f>Model!I18*1</f>
        <v>-206973.27288847821</v>
      </c>
      <c r="J20" s="37">
        <f>Model!J18*1</f>
        <v>-214217.33743957494</v>
      </c>
      <c r="K20" s="37">
        <f>Model!K18*1</f>
        <v>-221714.94424996007</v>
      </c>
      <c r="L20" s="37">
        <f>Model!L18*1</f>
        <v>-229474.96729870865</v>
      </c>
      <c r="M20" s="37">
        <f>Model!M18*1</f>
        <v>-237506.59115416341</v>
      </c>
      <c r="N20" s="37">
        <f>Model!N18*1</f>
        <v>-245819.32184455908</v>
      </c>
      <c r="O20" s="37">
        <f>Model!O18*1</f>
        <v>-254422.99810911863</v>
      </c>
      <c r="P20" s="37">
        <f>Model!P18*1</f>
        <v>-263327.80304293783</v>
      </c>
      <c r="Q20" s="37">
        <f>Model!Q18*1</f>
        <v>-272544.27614944061</v>
      </c>
      <c r="R20" s="37">
        <f>Model!R18*1</f>
        <v>-282083.32581467094</v>
      </c>
      <c r="S20" s="37">
        <f>Model!S18*1</f>
        <v>-291956.24221818452</v>
      </c>
      <c r="T20" s="37">
        <f>Model!T18*1</f>
        <v>-302174.71069582092</v>
      </c>
      <c r="U20" s="37">
        <f>Model!U18*1</f>
        <v>-312750.82557017455</v>
      </c>
      <c r="V20" s="37">
        <f>Model!V18*1</f>
        <v>-323697.10446513066</v>
      </c>
      <c r="W20" s="37">
        <f>Model!W18*1</f>
        <v>-335026.50312141021</v>
      </c>
      <c r="X20" s="37">
        <f>Model!X18*1</f>
        <v>-346752.43073065951</v>
      </c>
    </row>
    <row r="21" spans="2:24" ht="13.5" customHeight="1" x14ac:dyDescent="0.25">
      <c r="B21" s="16" t="s">
        <v>130</v>
      </c>
      <c r="C21" s="17" t="s">
        <v>20</v>
      </c>
      <c r="E21" s="37">
        <f t="shared" ref="E21:X21" si="3">E19+E20</f>
        <v>894024.9375</v>
      </c>
      <c r="F21" s="37">
        <f t="shared" si="3"/>
        <v>903172.62854812504</v>
      </c>
      <c r="G21" s="37">
        <f t="shared" si="3"/>
        <v>912321.84839734517</v>
      </c>
      <c r="H21" s="37">
        <f t="shared" si="3"/>
        <v>921468.06532054977</v>
      </c>
      <c r="I21" s="37">
        <f t="shared" si="3"/>
        <v>930606.52299864625</v>
      </c>
      <c r="J21" s="37">
        <f t="shared" si="3"/>
        <v>939732.23171036574</v>
      </c>
      <c r="K21" s="37">
        <f t="shared" si="3"/>
        <v>948839.95920004812</v>
      </c>
      <c r="L21" s="37">
        <f t="shared" si="3"/>
        <v>957924.22121194494</v>
      </c>
      <c r="M21" s="37">
        <f t="shared" si="3"/>
        <v>966979.27167915879</v>
      </c>
      <c r="N21" s="37">
        <f t="shared" si="3"/>
        <v>975999.09255493467</v>
      </c>
      <c r="O21" s="37">
        <f t="shared" si="3"/>
        <v>984977.38327358419</v>
      </c>
      <c r="P21" s="37">
        <f t="shared" si="3"/>
        <v>993907.54982786183</v>
      </c>
      <c r="Q21" s="37">
        <f t="shared" si="3"/>
        <v>1002782.6934491699</v>
      </c>
      <c r="R21" s="37">
        <f t="shared" si="3"/>
        <v>1011595.5988764637</v>
      </c>
      <c r="S21" s="37">
        <f t="shared" si="3"/>
        <v>1025312.3939165573</v>
      </c>
      <c r="T21" s="37">
        <f t="shared" si="3"/>
        <v>1041439.2981616154</v>
      </c>
      <c r="U21" s="37">
        <f t="shared" si="3"/>
        <v>1057735.4634644107</v>
      </c>
      <c r="V21" s="37">
        <f t="shared" si="3"/>
        <v>1074198.9103501465</v>
      </c>
      <c r="W21" s="37">
        <f t="shared" si="3"/>
        <v>1090827.4319901722</v>
      </c>
      <c r="X21" s="37">
        <f t="shared" si="3"/>
        <v>1107618.5830831546</v>
      </c>
    </row>
    <row r="22" spans="2:24" ht="13.5" customHeight="1" x14ac:dyDescent="0.25">
      <c r="B22" s="16" t="s">
        <v>138</v>
      </c>
      <c r="C22" s="17" t="s">
        <v>20</v>
      </c>
      <c r="E22" s="37">
        <f>IF(Model!E27=1,0,-MAX(0,E21-Debt!E29-Model!E25)*(Assumptions!$D$62+Assumptions!$D$63))</f>
        <v>0</v>
      </c>
      <c r="F22" s="37">
        <f>IF(Model!F27=1,0,-MAX(0,F21-Debt!F29-Model!F25)*(Assumptions!$D$62+Assumptions!$D$63))</f>
        <v>0</v>
      </c>
      <c r="G22" s="37">
        <f>IF(Model!G27=1,0,-MAX(0,G21-Debt!G29-Model!G25)*(Assumptions!$D$62+Assumptions!$D$63))</f>
        <v>0</v>
      </c>
      <c r="H22" s="37">
        <f>IF(Model!H27=1,0,-MAX(0,H21-Debt!H29-Model!H25)*(Assumptions!$D$62+Assumptions!$D$63))</f>
        <v>0</v>
      </c>
      <c r="I22" s="37">
        <f>IF(Model!I27=1,0,-MAX(0,I21-Debt!I29-Model!I25)*(Assumptions!$D$62+Assumptions!$D$63))</f>
        <v>0</v>
      </c>
      <c r="J22" s="37">
        <f>IF(Model!J27=1,0,-MAX(0,J21-Debt!J29-Model!J25)*(Assumptions!$D$62+Assumptions!$D$63))</f>
        <v>-217540.81568528054</v>
      </c>
      <c r="K22" s="37">
        <f>IF(Model!K27=1,0,-MAX(0,K21-Debt!K29-Model!K25)*(Assumptions!$D$62+Assumptions!$D$63))</f>
        <v>-226977.45915755371</v>
      </c>
      <c r="L22" s="37">
        <f>IF(Model!L27=1,0,-MAX(0,L21-Debt!L29-Model!L25)*(Assumptions!$D$62+Assumptions!$D$63))</f>
        <v>-237173.46209788963</v>
      </c>
      <c r="M22" s="37">
        <f>IF(Model!M27=1,0,-MAX(0,M21-Debt!M29-Model!M25)*(Assumptions!$D$62+Assumptions!$D$63))</f>
        <v>-248199.8470724161</v>
      </c>
      <c r="N22" s="37">
        <f>IF(Model!N27=1,0,-MAX(0,N21-Debt!N29-Model!N25)*(Assumptions!$D$62+Assumptions!$D$63))</f>
        <v>-260134.39770431645</v>
      </c>
      <c r="O22" s="37">
        <f>IF(Model!O27=1,0,-MAX(0,O21-Debt!O29-Model!O25)*(Assumptions!$D$62+Assumptions!$D$63))</f>
        <v>-273062.30222379457</v>
      </c>
      <c r="P22" s="37">
        <f>IF(Model!P27=1,0,-MAX(0,P21-Debt!P29-Model!P25)*(Assumptions!$D$62+Assumptions!$D$63))</f>
        <v>-287076.85820999229</v>
      </c>
      <c r="Q22" s="37">
        <f>IF(Model!Q27=1,0,-MAX(0,Q21-Debt!Q29-Model!Q25)*(Assumptions!$D$62+Assumptions!$D$63))</f>
        <v>-302280.24434017099</v>
      </c>
      <c r="R22" s="37">
        <f>IF(Model!R27=1,0,-MAX(0,R21-Debt!R29-Model!R25)*(Assumptions!$D$62+Assumptions!$D$63))</f>
        <v>-318784.36551399162</v>
      </c>
      <c r="S22" s="37">
        <f>IF(Model!S27=1,0,-MAX(0,S21-Debt!S29-Model!S25)*(Assumptions!$D$62+Assumptions!$D$63))</f>
        <v>-338353.08999246388</v>
      </c>
      <c r="T22" s="37">
        <f>IF(Model!T27=1,0,-MAX(0,T21-Debt!T29-Model!T25)*(Assumptions!$D$62+Assumptions!$D$63))</f>
        <v>-343674.96839333302</v>
      </c>
      <c r="U22" s="37">
        <f>IF(Model!U27=1,0,-MAX(0,U21-Debt!U29-Model!U25)*(Assumptions!$D$62+Assumptions!$D$63))</f>
        <v>-349052.70294325548</v>
      </c>
      <c r="V22" s="37">
        <f>IF(Model!V27=1,0,-MAX(0,V21-Debt!V29-Model!V25)*(Assumptions!$D$62+Assumptions!$D$63))</f>
        <v>-354485.64041554829</v>
      </c>
      <c r="W22" s="37">
        <f>IF(Model!W27=1,0,-MAX(0,W21-Debt!W29-Model!W25)*(Assumptions!$D$62+Assumptions!$D$63))</f>
        <v>-359973.05255675683</v>
      </c>
      <c r="X22" s="37">
        <f>IF(Model!X27=1,0,-MAX(0,X21-Debt!X29-Model!X25)*(Assumptions!$D$62+Assumptions!$D$63))</f>
        <v>-365514.132417441</v>
      </c>
    </row>
    <row r="23" spans="2:24" ht="13.5" customHeight="1" x14ac:dyDescent="0.25">
      <c r="B23" s="16" t="s">
        <v>192</v>
      </c>
      <c r="C23" s="17" t="s">
        <v>20</v>
      </c>
      <c r="E23" s="37">
        <f t="shared" ref="E23:X23" si="4">E21+E22</f>
        <v>894024.9375</v>
      </c>
      <c r="F23" s="37">
        <f t="shared" si="4"/>
        <v>903172.62854812504</v>
      </c>
      <c r="G23" s="37">
        <f t="shared" si="4"/>
        <v>912321.84839734517</v>
      </c>
      <c r="H23" s="37">
        <f t="shared" si="4"/>
        <v>921468.06532054977</v>
      </c>
      <c r="I23" s="37">
        <f t="shared" si="4"/>
        <v>930606.52299864625</v>
      </c>
      <c r="J23" s="37">
        <f t="shared" si="4"/>
        <v>722191.41602508514</v>
      </c>
      <c r="K23" s="37">
        <f t="shared" si="4"/>
        <v>721862.50004249439</v>
      </c>
      <c r="L23" s="37">
        <f t="shared" si="4"/>
        <v>720750.75911405531</v>
      </c>
      <c r="M23" s="37">
        <f t="shared" si="4"/>
        <v>718779.42460674269</v>
      </c>
      <c r="N23" s="37">
        <f t="shared" si="4"/>
        <v>715864.69485061825</v>
      </c>
      <c r="O23" s="37">
        <f t="shared" si="4"/>
        <v>711915.08104978967</v>
      </c>
      <c r="P23" s="37">
        <f t="shared" si="4"/>
        <v>706830.69161786954</v>
      </c>
      <c r="Q23" s="37">
        <f t="shared" si="4"/>
        <v>700502.44910899887</v>
      </c>
      <c r="R23" s="37">
        <f t="shared" si="4"/>
        <v>692811.23336247215</v>
      </c>
      <c r="S23" s="37">
        <f t="shared" si="4"/>
        <v>686959.30392409349</v>
      </c>
      <c r="T23" s="37">
        <f t="shared" si="4"/>
        <v>697764.32976828236</v>
      </c>
      <c r="U23" s="37">
        <f t="shared" si="4"/>
        <v>708682.76052115532</v>
      </c>
      <c r="V23" s="37">
        <f t="shared" si="4"/>
        <v>719713.26993459812</v>
      </c>
      <c r="W23" s="37">
        <f t="shared" si="4"/>
        <v>730854.37943341536</v>
      </c>
      <c r="X23" s="37">
        <f t="shared" si="4"/>
        <v>742104.45066571364</v>
      </c>
    </row>
    <row r="24" spans="2:24" ht="13.5" customHeight="1" x14ac:dyDescent="0.25">
      <c r="B24" s="16" t="s">
        <v>179</v>
      </c>
      <c r="C24" s="17" t="s">
        <v>20</v>
      </c>
      <c r="E24" s="45">
        <f>Debt!E30</f>
        <v>460850.5042425858</v>
      </c>
      <c r="F24" s="45">
        <f>Debt!F30</f>
        <v>465791.66574859561</v>
      </c>
      <c r="G24" s="45">
        <f>Debt!G30</f>
        <v>470744.76386492542</v>
      </c>
      <c r="H24" s="45">
        <f>Debt!H30</f>
        <v>475707.89952476649</v>
      </c>
      <c r="I24" s="45">
        <f>Debt!I30</f>
        <v>480679.07385452662</v>
      </c>
      <c r="J24" s="45">
        <f>Debt!J30</f>
        <v>485656.18420083803</v>
      </c>
      <c r="K24" s="45">
        <f>Debt!K30</f>
        <v>490637.02001160674</v>
      </c>
      <c r="L24" s="45">
        <f>Debt!L30</f>
        <v>495619.25856589648</v>
      </c>
      <c r="M24" s="45">
        <f>Debt!M30</f>
        <v>500600.46054725407</v>
      </c>
      <c r="N24" s="45">
        <f>Debt!N30</f>
        <v>505578.06545489392</v>
      </c>
      <c r="O24" s="45">
        <f>Debt!O30</f>
        <v>510549.38684696786</v>
      </c>
      <c r="P24" s="45">
        <f>Debt!P30</f>
        <v>515511.60740992951</v>
      </c>
      <c r="Q24" s="45">
        <f>Debt!Q30</f>
        <v>520461.77384781052</v>
      </c>
      <c r="R24" s="45">
        <f>Debt!R30</f>
        <v>525396.79158498661</v>
      </c>
      <c r="S24" s="45">
        <f>Debt!S30</f>
        <v>0</v>
      </c>
      <c r="T24" s="45">
        <f>Debt!T30</f>
        <v>0</v>
      </c>
      <c r="U24" s="45">
        <f>Debt!U30</f>
        <v>0</v>
      </c>
      <c r="V24" s="45">
        <f>Debt!V30</f>
        <v>0</v>
      </c>
      <c r="W24" s="45">
        <f>Debt!W30</f>
        <v>0</v>
      </c>
      <c r="X24" s="45">
        <f>Debt!X30</f>
        <v>0</v>
      </c>
    </row>
    <row r="25" spans="2:24" ht="13.5" customHeight="1" x14ac:dyDescent="0.25">
      <c r="B25" s="33" t="s">
        <v>193</v>
      </c>
      <c r="C25" s="17" t="s">
        <v>79</v>
      </c>
      <c r="E25" s="46">
        <f t="shared" ref="E25:X25" si="5">IFERROR(IF(E24=0,"",E23/E24),"")</f>
        <v>1.939945664091965</v>
      </c>
      <c r="F25" s="46">
        <f t="shared" si="5"/>
        <v>1.9390055575524177</v>
      </c>
      <c r="G25" s="46">
        <f t="shared" si="5"/>
        <v>1.9380392909885344</v>
      </c>
      <c r="H25" s="46">
        <f t="shared" si="5"/>
        <v>1.9370459608534962</v>
      </c>
      <c r="I25" s="46">
        <f t="shared" si="5"/>
        <v>1.9360246235314298</v>
      </c>
      <c r="J25" s="46">
        <f t="shared" si="5"/>
        <v>1.4870425612174032</v>
      </c>
      <c r="K25" s="46">
        <f t="shared" si="5"/>
        <v>1.4712760566363656</v>
      </c>
      <c r="L25" s="46">
        <f t="shared" si="5"/>
        <v>1.454242841974281</v>
      </c>
      <c r="M25" s="46">
        <f t="shared" si="5"/>
        <v>1.4358345252438969</v>
      </c>
      <c r="N25" s="46">
        <f t="shared" si="5"/>
        <v>1.415933055178173</v>
      </c>
      <c r="O25" s="46">
        <f t="shared" si="5"/>
        <v>1.3944098247701533</v>
      </c>
      <c r="P25" s="46">
        <f t="shared" si="5"/>
        <v>1.3711246875102951</v>
      </c>
      <c r="Q25" s="46">
        <f t="shared" si="5"/>
        <v>1.3459248773068095</v>
      </c>
      <c r="R25" s="46">
        <f t="shared" si="5"/>
        <v>1.3186438220767192</v>
      </c>
      <c r="S25" s="46" t="str">
        <f t="shared" si="5"/>
        <v/>
      </c>
      <c r="T25" s="46" t="str">
        <f t="shared" si="5"/>
        <v/>
      </c>
      <c r="U25" s="46" t="str">
        <f t="shared" si="5"/>
        <v/>
      </c>
      <c r="V25" s="46" t="str">
        <f t="shared" si="5"/>
        <v/>
      </c>
      <c r="W25" s="46" t="str">
        <f t="shared" si="5"/>
        <v/>
      </c>
      <c r="X25" s="46" t="str">
        <f t="shared" si="5"/>
        <v/>
      </c>
    </row>
    <row r="26" spans="2:24" ht="13.5" customHeight="1" x14ac:dyDescent="0.25">
      <c r="B26" s="16" t="s">
        <v>180</v>
      </c>
      <c r="C26" s="17" t="s">
        <v>20</v>
      </c>
      <c r="D26" s="37">
        <f>-Debt!$D$15</f>
        <v>-2406084.627121293</v>
      </c>
      <c r="E26" s="37">
        <f>E23-E24-Debt!E36</f>
        <v>430703.85250440933</v>
      </c>
      <c r="F26" s="37">
        <f>F23-F24-Debt!F36</f>
        <v>434904.41374136449</v>
      </c>
      <c r="G26" s="37">
        <f>G23-G24-Debt!G36</f>
        <v>439095.51670249924</v>
      </c>
      <c r="H26" s="37">
        <f>H23-H24-Debt!H36</f>
        <v>443274.57863090315</v>
      </c>
      <c r="I26" s="37">
        <f>I23-I24-Debt!I36</f>
        <v>447438.89397096395</v>
      </c>
      <c r="J26" s="37">
        <f>J23-J24-Debt!J36</f>
        <v>234044.81391886272</v>
      </c>
      <c r="K26" s="37">
        <f>K23-K24-Debt!K36</f>
        <v>228734.3607537428</v>
      </c>
      <c r="L26" s="37">
        <f>L23-L24-Debt!L36</f>
        <v>222640.89955748001</v>
      </c>
      <c r="M26" s="37">
        <f>M23-M24-Debt!M36</f>
        <v>215690.16160566872</v>
      </c>
      <c r="N26" s="37">
        <f>N23-N24-Debt!N36</f>
        <v>207800.96869968739</v>
      </c>
      <c r="O26" s="37">
        <f>O23-O24-Debt!O36</f>
        <v>198884.58392134093</v>
      </c>
      <c r="P26" s="37">
        <f>P23-P24-Debt!P36</f>
        <v>188844.00098899956</v>
      </c>
      <c r="Q26" s="37">
        <f>Q23-Q24-Debt!Q36</f>
        <v>177573.16639260031</v>
      </c>
      <c r="R26" s="37">
        <f>R23-R24-Debt!R36</f>
        <v>430112.83756997884</v>
      </c>
      <c r="S26" s="37">
        <f>S23-S24-Debt!S36</f>
        <v>686959.30392409349</v>
      </c>
      <c r="T26" s="37">
        <f>T23-T24-Debt!T36</f>
        <v>697764.32976828236</v>
      </c>
      <c r="U26" s="37">
        <f>U23-U24-Debt!U36</f>
        <v>708682.76052115532</v>
      </c>
      <c r="V26" s="37">
        <f>V23-V24-Debt!V36</f>
        <v>719713.26993459812</v>
      </c>
      <c r="W26" s="37">
        <f>W23-W24-Debt!W36</f>
        <v>730854.37943341536</v>
      </c>
      <c r="X26" s="37">
        <f>X23-X24-Debt!X36</f>
        <v>742104.45066571364</v>
      </c>
    </row>
    <row r="28" spans="2:24" ht="16.5" customHeight="1" x14ac:dyDescent="0.25">
      <c r="B28" s="14" t="s">
        <v>214</v>
      </c>
      <c r="C28" s="15"/>
      <c r="D28" s="15"/>
      <c r="E28" s="15"/>
      <c r="F28" s="15"/>
      <c r="G28" s="15"/>
      <c r="H28" s="15"/>
      <c r="I28" s="15"/>
      <c r="J28" s="15"/>
      <c r="K28" s="15"/>
      <c r="L28" s="15"/>
      <c r="M28" s="15"/>
      <c r="N28" s="15"/>
      <c r="O28" s="15"/>
      <c r="P28" s="15"/>
      <c r="Q28" s="15"/>
      <c r="R28" s="15"/>
      <c r="S28" s="15"/>
      <c r="T28" s="15"/>
      <c r="U28" s="15"/>
      <c r="V28" s="15"/>
      <c r="W28" s="15"/>
      <c r="X28" s="15"/>
    </row>
    <row r="29" spans="2:24" ht="13.5" customHeight="1" x14ac:dyDescent="0.25">
      <c r="B29" s="16" t="s">
        <v>170</v>
      </c>
      <c r="C29" s="17" t="s">
        <v>20</v>
      </c>
      <c r="E29" s="37">
        <f>MAX(MIN(Model!E10*0.93,Assumptions!$D$35),Assumptions!$D$35*Assumptions!$D$36)*Model!E14*1</f>
        <v>1110203.1937500001</v>
      </c>
      <c r="F29" s="37">
        <f>MAX(MIN(Model!F10*0.93,Assumptions!$D$35),Assumptions!$D$35*Assumptions!$D$36)*Model!F14*1</f>
        <v>1131435</v>
      </c>
      <c r="G29" s="37">
        <f>MAX(MIN(Model!G10*0.93,Assumptions!$D$35),Assumptions!$D$35*Assumptions!$D$36)*Model!G14*1</f>
        <v>1154063.7</v>
      </c>
      <c r="H29" s="37">
        <f>MAX(MIN(Model!H10*0.93,Assumptions!$D$35),Assumptions!$D$35*Assumptions!$D$36)*Model!H14*1</f>
        <v>1177144.9739999999</v>
      </c>
      <c r="I29" s="37">
        <f>MAX(MIN(Model!I10*0.93,Assumptions!$D$35),Assumptions!$D$35*Assumptions!$D$36)*Model!I14*1</f>
        <v>1200687.8734799998</v>
      </c>
      <c r="J29" s="37">
        <f>MAX(MIN(Model!J10*0.93,Assumptions!$D$35),Assumptions!$D$35*Assumptions!$D$36)*Model!J14*1</f>
        <v>1224701.6309495999</v>
      </c>
      <c r="K29" s="37">
        <f>MAX(MIN(Model!K10*0.93,Assumptions!$D$35),Assumptions!$D$35*Assumptions!$D$36)*Model!K14*1</f>
        <v>1249195.6635685922</v>
      </c>
      <c r="L29" s="37">
        <f>MAX(MIN(Model!L10*0.93,Assumptions!$D$35),Assumptions!$D$35*Assumptions!$D$36)*Model!L14*1</f>
        <v>1274179.5768399634</v>
      </c>
      <c r="M29" s="37">
        <f>MAX(MIN(Model!M10*0.93,Assumptions!$D$35),Assumptions!$D$35*Assumptions!$D$36)*Model!M14*1</f>
        <v>1299663.1683767631</v>
      </c>
      <c r="N29" s="37">
        <f>MAX(MIN(Model!N10*0.93,Assumptions!$D$35),Assumptions!$D$35*Assumptions!$D$36)*Model!N14*1</f>
        <v>1325656.4317442982</v>
      </c>
      <c r="O29" s="37">
        <f>MAX(MIN(Model!O10*0.93,Assumptions!$D$35),Assumptions!$D$35*Assumptions!$D$36)*Model!O14*1</f>
        <v>1352169.5603791843</v>
      </c>
      <c r="P29" s="37">
        <f>MAX(MIN(Model!P10*0.93,Assumptions!$D$35),Assumptions!$D$35*Assumptions!$D$36)*Model!P14*1</f>
        <v>1379212.9515867678</v>
      </c>
      <c r="Q29" s="37">
        <f>MAX(MIN(Model!Q10*0.93,Assumptions!$D$35),Assumptions!$D$35*Assumptions!$D$36)*Model!Q14*1</f>
        <v>1406797.2106185034</v>
      </c>
      <c r="R29" s="37">
        <f>MAX(MIN(Model!R10*0.93,Assumptions!$D$35),Assumptions!$D$35*Assumptions!$D$36)*Model!R14*1</f>
        <v>1434933.1548308732</v>
      </c>
      <c r="S29" s="37">
        <f>MAX(MIN(Model!S10*0.93,Assumptions!$D$35),Assumptions!$D$35*Assumptions!$D$36)*Model!S14*1</f>
        <v>1463631.8179274909</v>
      </c>
      <c r="T29" s="37">
        <f>MAX(MIN(Model!T10*0.93,Assumptions!$D$35),Assumptions!$D$35*Assumptions!$D$36)*Model!T14*1</f>
        <v>1492904.4542860403</v>
      </c>
      <c r="U29" s="37">
        <f>MAX(MIN(Model!U10*0.93,Assumptions!$D$35),Assumptions!$D$35*Assumptions!$D$36)*Model!U14*1</f>
        <v>1522762.5433717615</v>
      </c>
      <c r="V29" s="37">
        <f>MAX(MIN(Model!V10*0.93,Assumptions!$D$35),Assumptions!$D$35*Assumptions!$D$36)*Model!V14*1</f>
        <v>1553217.7942391969</v>
      </c>
      <c r="W29" s="37">
        <f>MAX(MIN(Model!W10*0.93,Assumptions!$D$35),Assumptions!$D$35*Assumptions!$D$36)*Model!W14*1</f>
        <v>1584282.1501239806</v>
      </c>
      <c r="X29" s="37">
        <f>MAX(MIN(Model!X10*0.93,Assumptions!$D$35),Assumptions!$D$35*Assumptions!$D$36)*Model!X14*1</f>
        <v>1615967.7931264602</v>
      </c>
    </row>
    <row r="30" spans="2:24" ht="13.5" customHeight="1" x14ac:dyDescent="0.25">
      <c r="B30" s="16" t="s">
        <v>171</v>
      </c>
      <c r="C30" s="17" t="s">
        <v>20</v>
      </c>
      <c r="E30" s="37">
        <f>Model!E18*1</f>
        <v>-180365.25</v>
      </c>
      <c r="F30" s="37">
        <f>Model!F18*1</f>
        <v>-186678.03374999997</v>
      </c>
      <c r="G30" s="37">
        <f>Model!G18*1</f>
        <v>-193211.76493124999</v>
      </c>
      <c r="H30" s="37">
        <f>Model!H18*1</f>
        <v>-199974.1767038437</v>
      </c>
      <c r="I30" s="37">
        <f>Model!I18*1</f>
        <v>-206973.27288847821</v>
      </c>
      <c r="J30" s="37">
        <f>Model!J18*1</f>
        <v>-214217.33743957494</v>
      </c>
      <c r="K30" s="37">
        <f>Model!K18*1</f>
        <v>-221714.94424996007</v>
      </c>
      <c r="L30" s="37">
        <f>Model!L18*1</f>
        <v>-229474.96729870865</v>
      </c>
      <c r="M30" s="37">
        <f>Model!M18*1</f>
        <v>-237506.59115416341</v>
      </c>
      <c r="N30" s="37">
        <f>Model!N18*1</f>
        <v>-245819.32184455908</v>
      </c>
      <c r="O30" s="37">
        <f>Model!O18*1</f>
        <v>-254422.99810911863</v>
      </c>
      <c r="P30" s="37">
        <f>Model!P18*1</f>
        <v>-263327.80304293783</v>
      </c>
      <c r="Q30" s="37">
        <f>Model!Q18*1</f>
        <v>-272544.27614944061</v>
      </c>
      <c r="R30" s="37">
        <f>Model!R18*1</f>
        <v>-282083.32581467094</v>
      </c>
      <c r="S30" s="37">
        <f>Model!S18*1</f>
        <v>-291956.24221818452</v>
      </c>
      <c r="T30" s="37">
        <f>Model!T18*1</f>
        <v>-302174.71069582092</v>
      </c>
      <c r="U30" s="37">
        <f>Model!U18*1</f>
        <v>-312750.82557017455</v>
      </c>
      <c r="V30" s="37">
        <f>Model!V18*1</f>
        <v>-323697.10446513066</v>
      </c>
      <c r="W30" s="37">
        <f>Model!W18*1</f>
        <v>-335026.50312141021</v>
      </c>
      <c r="X30" s="37">
        <f>Model!X18*1</f>
        <v>-346752.43073065951</v>
      </c>
    </row>
    <row r="31" spans="2:24" ht="13.5" customHeight="1" x14ac:dyDescent="0.25">
      <c r="B31" s="16" t="s">
        <v>130</v>
      </c>
      <c r="C31" s="17" t="s">
        <v>20</v>
      </c>
      <c r="E31" s="37">
        <f t="shared" ref="E31:X31" si="6">E29+E30</f>
        <v>929837.94375000009</v>
      </c>
      <c r="F31" s="37">
        <f t="shared" si="6"/>
        <v>944756.96625000006</v>
      </c>
      <c r="G31" s="37">
        <f t="shared" si="6"/>
        <v>960851.93506874994</v>
      </c>
      <c r="H31" s="37">
        <f t="shared" si="6"/>
        <v>977170.79729615618</v>
      </c>
      <c r="I31" s="37">
        <f t="shared" si="6"/>
        <v>993714.60059152159</v>
      </c>
      <c r="J31" s="37">
        <f t="shared" si="6"/>
        <v>1010484.2935100249</v>
      </c>
      <c r="K31" s="37">
        <f t="shared" si="6"/>
        <v>1027480.719318632</v>
      </c>
      <c r="L31" s="37">
        <f t="shared" si="6"/>
        <v>1044704.6095412548</v>
      </c>
      <c r="M31" s="37">
        <f t="shared" si="6"/>
        <v>1062156.5772225996</v>
      </c>
      <c r="N31" s="37">
        <f t="shared" si="6"/>
        <v>1079837.109899739</v>
      </c>
      <c r="O31" s="37">
        <f t="shared" si="6"/>
        <v>1097746.5622700658</v>
      </c>
      <c r="P31" s="37">
        <f t="shared" si="6"/>
        <v>1115885.14854383</v>
      </c>
      <c r="Q31" s="37">
        <f t="shared" si="6"/>
        <v>1134252.9344690628</v>
      </c>
      <c r="R31" s="37">
        <f t="shared" si="6"/>
        <v>1152849.8290162024</v>
      </c>
      <c r="S31" s="37">
        <f t="shared" si="6"/>
        <v>1171675.5757093064</v>
      </c>
      <c r="T31" s="37">
        <f t="shared" si="6"/>
        <v>1190729.7435902194</v>
      </c>
      <c r="U31" s="37">
        <f t="shared" si="6"/>
        <v>1210011.717801587</v>
      </c>
      <c r="V31" s="37">
        <f t="shared" si="6"/>
        <v>1229520.6897740662</v>
      </c>
      <c r="W31" s="37">
        <f t="shared" si="6"/>
        <v>1249255.6470025703</v>
      </c>
      <c r="X31" s="37">
        <f t="shared" si="6"/>
        <v>1269215.3623958007</v>
      </c>
    </row>
    <row r="32" spans="2:24" ht="13.5" customHeight="1" x14ac:dyDescent="0.25">
      <c r="B32" s="16" t="s">
        <v>138</v>
      </c>
      <c r="C32" s="17" t="s">
        <v>20</v>
      </c>
      <c r="E32" s="37">
        <f>IF(Model!E27=1,0,-MAX(0,E31-Debt!E29-Model!E25)*(Assumptions!$D$62+Assumptions!$D$63))</f>
        <v>0</v>
      </c>
      <c r="F32" s="37">
        <f>IF(Model!F27=1,0,-MAX(0,F31-Debt!F29-Model!F25)*(Assumptions!$D$62+Assumptions!$D$63))</f>
        <v>0</v>
      </c>
      <c r="G32" s="37">
        <f>IF(Model!G27=1,0,-MAX(0,G31-Debt!G29-Model!G25)*(Assumptions!$D$62+Assumptions!$D$63))</f>
        <v>0</v>
      </c>
      <c r="H32" s="37">
        <f>IF(Model!H27=1,0,-MAX(0,H31-Debt!H29-Model!H25)*(Assumptions!$D$62+Assumptions!$D$63))</f>
        <v>0</v>
      </c>
      <c r="I32" s="37">
        <f>IF(Model!I27=1,0,-MAX(0,I31-Debt!I29-Model!I25)*(Assumptions!$D$62+Assumptions!$D$63))</f>
        <v>0</v>
      </c>
      <c r="J32" s="37">
        <f>IF(Model!J27=1,0,-MAX(0,J31-Debt!J29-Model!J25)*(Assumptions!$D$62+Assumptions!$D$63))</f>
        <v>-240888.99607916808</v>
      </c>
      <c r="K32" s="37">
        <f>IF(Model!K27=1,0,-MAX(0,K31-Debt!K29-Model!K25)*(Assumptions!$D$62+Assumptions!$D$63))</f>
        <v>-252928.90999668639</v>
      </c>
      <c r="L32" s="37">
        <f>IF(Model!L27=1,0,-MAX(0,L31-Debt!L29-Model!L25)*(Assumptions!$D$62+Assumptions!$D$63))</f>
        <v>-265810.99024656188</v>
      </c>
      <c r="M32" s="37">
        <f>IF(Model!M27=1,0,-MAX(0,M31-Debt!M29-Model!M25)*(Assumptions!$D$62+Assumptions!$D$63))</f>
        <v>-279608.35790175159</v>
      </c>
      <c r="N32" s="37">
        <f>IF(Model!N27=1,0,-MAX(0,N31-Debt!N29-Model!N25)*(Assumptions!$D$62+Assumptions!$D$63))</f>
        <v>-294400.94342810189</v>
      </c>
      <c r="O32" s="37">
        <f>IF(Model!O27=1,0,-MAX(0,O31-Debt!O29-Model!O25)*(Assumptions!$D$62+Assumptions!$D$63))</f>
        <v>-310276.13129263348</v>
      </c>
      <c r="P32" s="37">
        <f>IF(Model!P27=1,0,-MAX(0,P31-Debt!P29-Model!P25)*(Assumptions!$D$62+Assumptions!$D$63))</f>
        <v>-327329.46578626178</v>
      </c>
      <c r="Q32" s="37">
        <f>IF(Model!Q27=1,0,-MAX(0,Q31-Debt!Q29-Model!Q25)*(Assumptions!$D$62+Assumptions!$D$63))</f>
        <v>-345665.42387673567</v>
      </c>
      <c r="R32" s="37">
        <f>IF(Model!R27=1,0,-MAX(0,R31-Debt!R29-Model!R25)*(Assumptions!$D$62+Assumptions!$D$63))</f>
        <v>-365398.26146010536</v>
      </c>
      <c r="S32" s="37">
        <f>IF(Model!S27=1,0,-MAX(0,S31-Debt!S29-Model!S25)*(Assumptions!$D$62+Assumptions!$D$63))</f>
        <v>-386652.93998407107</v>
      </c>
      <c r="T32" s="37">
        <f>IF(Model!T27=1,0,-MAX(0,T31-Debt!T29-Model!T25)*(Assumptions!$D$62+Assumptions!$D$63))</f>
        <v>-392940.81538477237</v>
      </c>
      <c r="U32" s="37">
        <f>IF(Model!U27=1,0,-MAX(0,U31-Debt!U29-Model!U25)*(Assumptions!$D$62+Assumptions!$D$63))</f>
        <v>-399303.86687452364</v>
      </c>
      <c r="V32" s="37">
        <f>IF(Model!V27=1,0,-MAX(0,V31-Debt!V29-Model!V25)*(Assumptions!$D$62+Assumptions!$D$63))</f>
        <v>-405741.82762544177</v>
      </c>
      <c r="W32" s="37">
        <f>IF(Model!W27=1,0,-MAX(0,W31-Debt!W29-Model!W25)*(Assumptions!$D$62+Assumptions!$D$63))</f>
        <v>-412254.36351084814</v>
      </c>
      <c r="X32" s="37">
        <f>IF(Model!X27=1,0,-MAX(0,X31-Debt!X29-Model!X25)*(Assumptions!$D$62+Assumptions!$D$63))</f>
        <v>-418841.06959061418</v>
      </c>
    </row>
    <row r="33" spans="2:24" ht="13.5" customHeight="1" x14ac:dyDescent="0.25">
      <c r="B33" s="16" t="s">
        <v>192</v>
      </c>
      <c r="C33" s="17" t="s">
        <v>20</v>
      </c>
      <c r="E33" s="37">
        <f t="shared" ref="E33:X33" si="7">E31+E32</f>
        <v>929837.94375000009</v>
      </c>
      <c r="F33" s="37">
        <f t="shared" si="7"/>
        <v>944756.96625000006</v>
      </c>
      <c r="G33" s="37">
        <f t="shared" si="7"/>
        <v>960851.93506874994</v>
      </c>
      <c r="H33" s="37">
        <f t="shared" si="7"/>
        <v>977170.79729615618</v>
      </c>
      <c r="I33" s="37">
        <f t="shared" si="7"/>
        <v>993714.60059152159</v>
      </c>
      <c r="J33" s="37">
        <f t="shared" si="7"/>
        <v>769595.29743085685</v>
      </c>
      <c r="K33" s="37">
        <f t="shared" si="7"/>
        <v>774551.80932194565</v>
      </c>
      <c r="L33" s="37">
        <f t="shared" si="7"/>
        <v>778893.619294693</v>
      </c>
      <c r="M33" s="37">
        <f t="shared" si="7"/>
        <v>782548.21932084812</v>
      </c>
      <c r="N33" s="37">
        <f t="shared" si="7"/>
        <v>785436.16647163709</v>
      </c>
      <c r="O33" s="37">
        <f t="shared" si="7"/>
        <v>787470.43097743229</v>
      </c>
      <c r="P33" s="37">
        <f t="shared" si="7"/>
        <v>788555.68275756831</v>
      </c>
      <c r="Q33" s="37">
        <f t="shared" si="7"/>
        <v>788587.51059232722</v>
      </c>
      <c r="R33" s="37">
        <f t="shared" si="7"/>
        <v>787451.56755609694</v>
      </c>
      <c r="S33" s="37">
        <f t="shared" si="7"/>
        <v>785022.63572523533</v>
      </c>
      <c r="T33" s="37">
        <f t="shared" si="7"/>
        <v>797788.92820544704</v>
      </c>
      <c r="U33" s="37">
        <f t="shared" si="7"/>
        <v>810707.85092706326</v>
      </c>
      <c r="V33" s="37">
        <f t="shared" si="7"/>
        <v>823778.86214862438</v>
      </c>
      <c r="W33" s="37">
        <f t="shared" si="7"/>
        <v>837001.28349172219</v>
      </c>
      <c r="X33" s="37">
        <f t="shared" si="7"/>
        <v>850374.29280518647</v>
      </c>
    </row>
    <row r="34" spans="2:24" ht="13.5" customHeight="1" x14ac:dyDescent="0.25">
      <c r="B34" s="16" t="s">
        <v>179</v>
      </c>
      <c r="C34" s="17" t="s">
        <v>20</v>
      </c>
      <c r="E34" s="45">
        <f>Debt!E30</f>
        <v>460850.5042425858</v>
      </c>
      <c r="F34" s="45">
        <f>Debt!F30</f>
        <v>465791.66574859561</v>
      </c>
      <c r="G34" s="45">
        <f>Debt!G30</f>
        <v>470744.76386492542</v>
      </c>
      <c r="H34" s="45">
        <f>Debt!H30</f>
        <v>475707.89952476649</v>
      </c>
      <c r="I34" s="45">
        <f>Debt!I30</f>
        <v>480679.07385452662</v>
      </c>
      <c r="J34" s="45">
        <f>Debt!J30</f>
        <v>485656.18420083803</v>
      </c>
      <c r="K34" s="45">
        <f>Debt!K30</f>
        <v>490637.02001160674</v>
      </c>
      <c r="L34" s="45">
        <f>Debt!L30</f>
        <v>495619.25856589648</v>
      </c>
      <c r="M34" s="45">
        <f>Debt!M30</f>
        <v>500600.46054725407</v>
      </c>
      <c r="N34" s="45">
        <f>Debt!N30</f>
        <v>505578.06545489392</v>
      </c>
      <c r="O34" s="45">
        <f>Debt!O30</f>
        <v>510549.38684696786</v>
      </c>
      <c r="P34" s="45">
        <f>Debt!P30</f>
        <v>515511.60740992951</v>
      </c>
      <c r="Q34" s="45">
        <f>Debt!Q30</f>
        <v>520461.77384781052</v>
      </c>
      <c r="R34" s="45">
        <f>Debt!R30</f>
        <v>525396.79158498661</v>
      </c>
      <c r="S34" s="45">
        <f>Debt!S30</f>
        <v>0</v>
      </c>
      <c r="T34" s="45">
        <f>Debt!T30</f>
        <v>0</v>
      </c>
      <c r="U34" s="45">
        <f>Debt!U30</f>
        <v>0</v>
      </c>
      <c r="V34" s="45">
        <f>Debt!V30</f>
        <v>0</v>
      </c>
      <c r="W34" s="45">
        <f>Debt!W30</f>
        <v>0</v>
      </c>
      <c r="X34" s="45">
        <f>Debt!X30</f>
        <v>0</v>
      </c>
    </row>
    <row r="35" spans="2:24" ht="13.5" customHeight="1" x14ac:dyDescent="0.25">
      <c r="B35" s="33" t="s">
        <v>193</v>
      </c>
      <c r="C35" s="17" t="s">
        <v>79</v>
      </c>
      <c r="E35" s="46">
        <f t="shared" ref="E35:X35" si="8">IFERROR(IF(E34=0,"",E33/E34),"")</f>
        <v>2.0176563444976625</v>
      </c>
      <c r="F35" s="46">
        <f t="shared" si="8"/>
        <v>2.0282822465954533</v>
      </c>
      <c r="G35" s="46">
        <f t="shared" si="8"/>
        <v>2.0411314343253215</v>
      </c>
      <c r="H35" s="46">
        <f t="shared" si="8"/>
        <v>2.0541403627569617</v>
      </c>
      <c r="I35" s="46">
        <f t="shared" si="8"/>
        <v>2.067314045154919</v>
      </c>
      <c r="J35" s="46">
        <f t="shared" si="8"/>
        <v>1.5846504635728036</v>
      </c>
      <c r="K35" s="46">
        <f t="shared" si="8"/>
        <v>1.5786656483924153</v>
      </c>
      <c r="L35" s="46">
        <f t="shared" si="8"/>
        <v>1.5715564030914932</v>
      </c>
      <c r="M35" s="46">
        <f t="shared" si="8"/>
        <v>1.5632191358061678</v>
      </c>
      <c r="N35" s="46">
        <f t="shared" si="8"/>
        <v>1.5535408280913865</v>
      </c>
      <c r="O35" s="46">
        <f t="shared" si="8"/>
        <v>1.5423981523916095</v>
      </c>
      <c r="P35" s="46">
        <f t="shared" si="8"/>
        <v>1.5296565032152942</v>
      </c>
      <c r="Q35" s="46">
        <f t="shared" si="8"/>
        <v>1.5151689330846418</v>
      </c>
      <c r="R35" s="46">
        <f t="shared" si="8"/>
        <v>1.4987749833427011</v>
      </c>
      <c r="S35" s="46" t="str">
        <f t="shared" si="8"/>
        <v/>
      </c>
      <c r="T35" s="46" t="str">
        <f t="shared" si="8"/>
        <v/>
      </c>
      <c r="U35" s="46" t="str">
        <f t="shared" si="8"/>
        <v/>
      </c>
      <c r="V35" s="46" t="str">
        <f t="shared" si="8"/>
        <v/>
      </c>
      <c r="W35" s="46" t="str">
        <f t="shared" si="8"/>
        <v/>
      </c>
      <c r="X35" s="46" t="str">
        <f t="shared" si="8"/>
        <v/>
      </c>
    </row>
    <row r="36" spans="2:24" ht="13.5" customHeight="1" x14ac:dyDescent="0.25">
      <c r="B36" s="16" t="s">
        <v>180</v>
      </c>
      <c r="C36" s="17" t="s">
        <v>20</v>
      </c>
      <c r="D36" s="37">
        <f>-Debt!$D$15</f>
        <v>-2406084.627121293</v>
      </c>
      <c r="E36" s="37">
        <f>E33-E34-Debt!E36</f>
        <v>466516.85875440942</v>
      </c>
      <c r="F36" s="37">
        <f>F33-F34-Debt!F36</f>
        <v>476488.75144323951</v>
      </c>
      <c r="G36" s="37">
        <f>G33-G34-Debt!G36</f>
        <v>487625.60337390401</v>
      </c>
      <c r="H36" s="37">
        <f>H33-H34-Debt!H36</f>
        <v>498977.31060650956</v>
      </c>
      <c r="I36" s="37">
        <f>I33-I34-Debt!I36</f>
        <v>510546.9715638393</v>
      </c>
      <c r="J36" s="37">
        <f>J33-J34-Debt!J36</f>
        <v>281448.69532463443</v>
      </c>
      <c r="K36" s="37">
        <f>K33-K34-Debt!K36</f>
        <v>281423.67003319407</v>
      </c>
      <c r="L36" s="37">
        <f>L33-L34-Debt!L36</f>
        <v>280783.75973811769</v>
      </c>
      <c r="M36" s="37">
        <f>M33-M34-Debt!M36</f>
        <v>279458.95631977415</v>
      </c>
      <c r="N36" s="37">
        <f>N33-N34-Debt!N36</f>
        <v>277372.44032070623</v>
      </c>
      <c r="O36" s="37">
        <f>O33-O34-Debt!O36</f>
        <v>274439.93384898355</v>
      </c>
      <c r="P36" s="37">
        <f>P33-P34-Debt!P36</f>
        <v>270568.99212869833</v>
      </c>
      <c r="Q36" s="37">
        <f>Q33-Q34-Debt!Q36</f>
        <v>265658.22787592863</v>
      </c>
      <c r="R36" s="37">
        <f>R33-R34-Debt!R36</f>
        <v>524753.17176360358</v>
      </c>
      <c r="S36" s="37">
        <f>S33-S34-Debt!S36</f>
        <v>785022.63572523533</v>
      </c>
      <c r="T36" s="37">
        <f>T33-T34-Debt!T36</f>
        <v>797788.92820544704</v>
      </c>
      <c r="U36" s="37">
        <f>U33-U34-Debt!U36</f>
        <v>810707.85092706326</v>
      </c>
      <c r="V36" s="37">
        <f>V33-V34-Debt!V36</f>
        <v>823778.86214862438</v>
      </c>
      <c r="W36" s="37">
        <f>W33-W34-Debt!W36</f>
        <v>837001.28349172219</v>
      </c>
      <c r="X36" s="37">
        <f>X33-X34-Debt!X36</f>
        <v>850374.29280518647</v>
      </c>
    </row>
    <row r="38" spans="2:24" ht="16.5" customHeight="1" x14ac:dyDescent="0.25">
      <c r="B38" s="14" t="s">
        <v>215</v>
      </c>
      <c r="C38" s="15"/>
      <c r="D38" s="15"/>
      <c r="E38" s="15"/>
      <c r="F38" s="15"/>
      <c r="G38" s="15"/>
      <c r="H38" s="15"/>
      <c r="I38" s="15"/>
      <c r="J38" s="15"/>
      <c r="K38" s="15"/>
      <c r="L38" s="15"/>
      <c r="M38" s="15"/>
      <c r="N38" s="15"/>
      <c r="O38" s="15"/>
      <c r="P38" s="15"/>
      <c r="Q38" s="15"/>
      <c r="R38" s="15"/>
      <c r="S38" s="15"/>
      <c r="T38" s="15"/>
      <c r="U38" s="15"/>
      <c r="V38" s="15"/>
      <c r="W38" s="15"/>
      <c r="X38" s="15"/>
    </row>
    <row r="39" spans="2:24" ht="13.5" customHeight="1" x14ac:dyDescent="0.25">
      <c r="B39" s="16" t="s">
        <v>170</v>
      </c>
      <c r="C39" s="17" t="s">
        <v>20</v>
      </c>
      <c r="E39" s="37">
        <f>MAX(MIN(Model!E10*1,Assumptions!$D$35),Assumptions!$D$35*Assumptions!$D$36)*Model!E14*1</f>
        <v>1193766.875</v>
      </c>
      <c r="F39" s="37">
        <f>MAX(MIN(Model!F10*1,Assumptions!$D$35),Assumptions!$D$35*Assumptions!$D$36)*Model!F14*1</f>
        <v>1210945.18033125</v>
      </c>
      <c r="G39" s="37">
        <f>MAX(MIN(Model!G10*1,Assumptions!$D$35),Assumptions!$D$35*Assumptions!$D$36)*Model!G14*1</f>
        <v>1228370.6814762168</v>
      </c>
      <c r="H39" s="37">
        <f>MAX(MIN(Model!H10*1,Assumptions!$D$35),Assumptions!$D$35*Assumptions!$D$36)*Model!H14*1</f>
        <v>1246046.9355826594</v>
      </c>
      <c r="I39" s="37">
        <f>MAX(MIN(Model!I10*1,Assumptions!$D$35),Assumptions!$D$35*Assumptions!$D$36)*Model!I14*1</f>
        <v>1263977.5509856939</v>
      </c>
      <c r="J39" s="37">
        <f>MAX(MIN(Model!J10*1,Assumptions!$D$35),Assumptions!$D$35*Assumptions!$D$36)*Model!J14*1</f>
        <v>1282166.1879443785</v>
      </c>
      <c r="K39" s="37">
        <f>MAX(MIN(Model!K10*1,Assumptions!$D$35),Assumptions!$D$35*Assumptions!$D$36)*Model!K14*1</f>
        <v>1300616.5593888981</v>
      </c>
      <c r="L39" s="37">
        <f>MAX(MIN(Model!L10*1,Assumptions!$D$35),Assumptions!$D$35*Assumptions!$D$36)*Model!L14*1</f>
        <v>1319332.431678504</v>
      </c>
      <c r="M39" s="37">
        <f>MAX(MIN(Model!M10*1,Assumptions!$D$35),Assumptions!$D$35*Assumptions!$D$36)*Model!M14*1</f>
        <v>1338317.6253703581</v>
      </c>
      <c r="N39" s="37">
        <f>MAX(MIN(Model!N10*1,Assumptions!$D$35),Assumptions!$D$35*Assumptions!$D$36)*Model!N14*1</f>
        <v>1357576.0159994373</v>
      </c>
      <c r="O39" s="37">
        <f>MAX(MIN(Model!O10*1,Assumptions!$D$35),Assumptions!$D$35*Assumptions!$D$36)*Model!O14*1</f>
        <v>1377111.5348696697</v>
      </c>
      <c r="P39" s="37">
        <f>MAX(MIN(Model!P10*1,Assumptions!$D$35),Assumptions!$D$35*Assumptions!$D$36)*Model!P14*1</f>
        <v>1396928.169856444</v>
      </c>
      <c r="Q39" s="37">
        <f>MAX(MIN(Model!Q10*1,Assumptions!$D$35),Assumptions!$D$35*Assumptions!$D$36)*Model!Q14*1</f>
        <v>1417029.9662206783</v>
      </c>
      <c r="R39" s="37">
        <f>MAX(MIN(Model!R10*1,Assumptions!$D$35),Assumptions!$D$35*Assumptions!$D$36)*Model!R14*1</f>
        <v>1437421.027434594</v>
      </c>
      <c r="S39" s="37">
        <f>MAX(MIN(Model!S10*1,Assumptions!$D$35),Assumptions!$D$35*Assumptions!$D$36)*Model!S14*1</f>
        <v>1463631.8179274909</v>
      </c>
      <c r="T39" s="37">
        <f>MAX(MIN(Model!T10*1,Assumptions!$D$35),Assumptions!$D$35*Assumptions!$D$36)*Model!T14*1</f>
        <v>1492904.4542860403</v>
      </c>
      <c r="U39" s="37">
        <f>MAX(MIN(Model!U10*1,Assumptions!$D$35),Assumptions!$D$35*Assumptions!$D$36)*Model!U14*1</f>
        <v>1522762.5433717615</v>
      </c>
      <c r="V39" s="37">
        <f>MAX(MIN(Model!V10*1,Assumptions!$D$35),Assumptions!$D$35*Assumptions!$D$36)*Model!V14*1</f>
        <v>1553217.7942391969</v>
      </c>
      <c r="W39" s="37">
        <f>MAX(MIN(Model!W10*1,Assumptions!$D$35),Assumptions!$D$35*Assumptions!$D$36)*Model!W14*1</f>
        <v>1584282.1501239806</v>
      </c>
      <c r="X39" s="37">
        <f>MAX(MIN(Model!X10*1,Assumptions!$D$35),Assumptions!$D$35*Assumptions!$D$36)*Model!X14*1</f>
        <v>1615967.7931264602</v>
      </c>
    </row>
    <row r="40" spans="2:24" ht="13.5" customHeight="1" x14ac:dyDescent="0.25">
      <c r="B40" s="16" t="s">
        <v>171</v>
      </c>
      <c r="C40" s="17" t="s">
        <v>20</v>
      </c>
      <c r="E40" s="37">
        <f>Model!E18*1.2</f>
        <v>-216438.3</v>
      </c>
      <c r="F40" s="37">
        <f>Model!F18*1.2</f>
        <v>-224013.64049999995</v>
      </c>
      <c r="G40" s="37">
        <f>Model!G18*1.2</f>
        <v>-231854.11791749997</v>
      </c>
      <c r="H40" s="37">
        <f>Model!H18*1.2</f>
        <v>-239969.01204461243</v>
      </c>
      <c r="I40" s="37">
        <f>Model!I18*1.2</f>
        <v>-248367.92746617383</v>
      </c>
      <c r="J40" s="37">
        <f>Model!J18*1.2</f>
        <v>-257060.80492748992</v>
      </c>
      <c r="K40" s="37">
        <f>Model!K18*1.2</f>
        <v>-266057.93309995206</v>
      </c>
      <c r="L40" s="37">
        <f>Model!L18*1.2</f>
        <v>-275369.96075845038</v>
      </c>
      <c r="M40" s="37">
        <f>Model!M18*1.2</f>
        <v>-285007.90938499611</v>
      </c>
      <c r="N40" s="37">
        <f>Model!N18*1.2</f>
        <v>-294983.18621347088</v>
      </c>
      <c r="O40" s="37">
        <f>Model!O18*1.2</f>
        <v>-305307.59773094236</v>
      </c>
      <c r="P40" s="37">
        <f>Model!P18*1.2</f>
        <v>-315993.3636515254</v>
      </c>
      <c r="Q40" s="37">
        <f>Model!Q18*1.2</f>
        <v>-327053.13137932873</v>
      </c>
      <c r="R40" s="37">
        <f>Model!R18*1.2</f>
        <v>-338499.99097760511</v>
      </c>
      <c r="S40" s="37">
        <f>Model!S18*1.2</f>
        <v>-350347.49066182139</v>
      </c>
      <c r="T40" s="37">
        <f>Model!T18*1.2</f>
        <v>-362609.65283498511</v>
      </c>
      <c r="U40" s="37">
        <f>Model!U18*1.2</f>
        <v>-375300.99068420945</v>
      </c>
      <c r="V40" s="37">
        <f>Model!V18*1.2</f>
        <v>-388436.52535815677</v>
      </c>
      <c r="W40" s="37">
        <f>Model!W18*1.2</f>
        <v>-402031.80374569225</v>
      </c>
      <c r="X40" s="37">
        <f>Model!X18*1.2</f>
        <v>-416102.91687679139</v>
      </c>
    </row>
    <row r="41" spans="2:24" ht="13.5" customHeight="1" x14ac:dyDescent="0.25">
      <c r="B41" s="16" t="s">
        <v>130</v>
      </c>
      <c r="C41" s="17" t="s">
        <v>20</v>
      </c>
      <c r="E41" s="37">
        <f t="shared" ref="E41:X41" si="9">E39+E40</f>
        <v>977328.57499999995</v>
      </c>
      <c r="F41" s="37">
        <f t="shared" si="9"/>
        <v>986931.53983124997</v>
      </c>
      <c r="G41" s="37">
        <f t="shared" si="9"/>
        <v>996516.56355871679</v>
      </c>
      <c r="H41" s="37">
        <f t="shared" si="9"/>
        <v>1006077.923538047</v>
      </c>
      <c r="I41" s="37">
        <f t="shared" si="9"/>
        <v>1015609.62351952</v>
      </c>
      <c r="J41" s="37">
        <f t="shared" si="9"/>
        <v>1025105.3830168885</v>
      </c>
      <c r="K41" s="37">
        <f t="shared" si="9"/>
        <v>1034558.626288946</v>
      </c>
      <c r="L41" s="37">
        <f t="shared" si="9"/>
        <v>1043962.4709200535</v>
      </c>
      <c r="M41" s="37">
        <f t="shared" si="9"/>
        <v>1053309.715985362</v>
      </c>
      <c r="N41" s="37">
        <f t="shared" si="9"/>
        <v>1062592.8297859663</v>
      </c>
      <c r="O41" s="37">
        <f t="shared" si="9"/>
        <v>1071803.9371387274</v>
      </c>
      <c r="P41" s="37">
        <f t="shared" si="9"/>
        <v>1080934.8062049185</v>
      </c>
      <c r="Q41" s="37">
        <f t="shared" si="9"/>
        <v>1089976.8348413496</v>
      </c>
      <c r="R41" s="37">
        <f t="shared" si="9"/>
        <v>1098921.0364569889</v>
      </c>
      <c r="S41" s="37">
        <f t="shared" si="9"/>
        <v>1113284.3272656696</v>
      </c>
      <c r="T41" s="37">
        <f t="shared" si="9"/>
        <v>1130294.8014510551</v>
      </c>
      <c r="U41" s="37">
        <f t="shared" si="9"/>
        <v>1147461.5526875521</v>
      </c>
      <c r="V41" s="37">
        <f t="shared" si="9"/>
        <v>1164781.2688810402</v>
      </c>
      <c r="W41" s="37">
        <f t="shared" si="9"/>
        <v>1182250.3463782882</v>
      </c>
      <c r="X41" s="37">
        <f t="shared" si="9"/>
        <v>1199864.8762496687</v>
      </c>
    </row>
    <row r="42" spans="2:24" ht="13.5" customHeight="1" x14ac:dyDescent="0.25">
      <c r="B42" s="16" t="s">
        <v>138</v>
      </c>
      <c r="C42" s="17" t="s">
        <v>20</v>
      </c>
      <c r="E42" s="37">
        <f>IF(Model!E27=1,0,-MAX(0,E41-Debt!E29-Model!E25)*(Assumptions!$D$62+Assumptions!$D$63))</f>
        <v>0</v>
      </c>
      <c r="F42" s="37">
        <f>IF(Model!F27=1,0,-MAX(0,F41-Debt!F29-Model!F25)*(Assumptions!$D$62+Assumptions!$D$63))</f>
        <v>0</v>
      </c>
      <c r="G42" s="37">
        <f>IF(Model!G27=1,0,-MAX(0,G41-Debt!G29-Model!G25)*(Assumptions!$D$62+Assumptions!$D$63))</f>
        <v>0</v>
      </c>
      <c r="H42" s="37">
        <f>IF(Model!H27=1,0,-MAX(0,H41-Debt!H29-Model!H25)*(Assumptions!$D$62+Assumptions!$D$63))</f>
        <v>0</v>
      </c>
      <c r="I42" s="37">
        <f>IF(Model!I27=1,0,-MAX(0,I41-Debt!I29-Model!I25)*(Assumptions!$D$62+Assumptions!$D$63))</f>
        <v>0</v>
      </c>
      <c r="J42" s="37">
        <f>IF(Model!J27=1,0,-MAX(0,J41-Debt!J29-Model!J25)*(Assumptions!$D$62+Assumptions!$D$63))</f>
        <v>-245713.95561643306</v>
      </c>
      <c r="K42" s="37">
        <f>IF(Model!K27=1,0,-MAX(0,K41-Debt!K29-Model!K25)*(Assumptions!$D$62+Assumptions!$D$63))</f>
        <v>-255264.61929688998</v>
      </c>
      <c r="L42" s="37">
        <f>IF(Model!L27=1,0,-MAX(0,L41-Debt!L29-Model!L25)*(Assumptions!$D$62+Assumptions!$D$63))</f>
        <v>-265566.08450156543</v>
      </c>
      <c r="M42" s="37">
        <f>IF(Model!M27=1,0,-MAX(0,M41-Debt!M29-Model!M25)*(Assumptions!$D$62+Assumptions!$D$63))</f>
        <v>-276688.89369346312</v>
      </c>
      <c r="N42" s="37">
        <f>IF(Model!N27=1,0,-MAX(0,N41-Debt!N29-Model!N25)*(Assumptions!$D$62+Assumptions!$D$63))</f>
        <v>-288710.33099055692</v>
      </c>
      <c r="O42" s="37">
        <f>IF(Model!O27=1,0,-MAX(0,O41-Debt!O29-Model!O25)*(Assumptions!$D$62+Assumptions!$D$63))</f>
        <v>-301715.06499929185</v>
      </c>
      <c r="P42" s="37">
        <f>IF(Model!P27=1,0,-MAX(0,P41-Debt!P29-Model!P25)*(Assumptions!$D$62+Assumptions!$D$63))</f>
        <v>-315795.852814421</v>
      </c>
      <c r="Q42" s="37">
        <f>IF(Model!Q27=1,0,-MAX(0,Q41-Debt!Q29-Model!Q25)*(Assumptions!$D$62+Assumptions!$D$63))</f>
        <v>-331054.31099959032</v>
      </c>
      <c r="R42" s="37">
        <f>IF(Model!R27=1,0,-MAX(0,R41-Debt!R29-Model!R25)*(Assumptions!$D$62+Assumptions!$D$63))</f>
        <v>-347601.75991556491</v>
      </c>
      <c r="S42" s="37">
        <f>IF(Model!S27=1,0,-MAX(0,S41-Debt!S29-Model!S25)*(Assumptions!$D$62+Assumptions!$D$63))</f>
        <v>-367383.82799767092</v>
      </c>
      <c r="T42" s="37">
        <f>IF(Model!T27=1,0,-MAX(0,T41-Debt!T29-Model!T25)*(Assumptions!$D$62+Assumptions!$D$63))</f>
        <v>-372997.28447884816</v>
      </c>
      <c r="U42" s="37">
        <f>IF(Model!U27=1,0,-MAX(0,U41-Debt!U29-Model!U25)*(Assumptions!$D$62+Assumptions!$D$63))</f>
        <v>-378662.31238689215</v>
      </c>
      <c r="V42" s="37">
        <f>IF(Model!V27=1,0,-MAX(0,V41-Debt!V29-Model!V25)*(Assumptions!$D$62+Assumptions!$D$63))</f>
        <v>-384377.81873074319</v>
      </c>
      <c r="W42" s="37">
        <f>IF(Model!W27=1,0,-MAX(0,W41-Debt!W29-Model!W25)*(Assumptions!$D$62+Assumptions!$D$63))</f>
        <v>-390142.61430483509</v>
      </c>
      <c r="X42" s="37">
        <f>IF(Model!X27=1,0,-MAX(0,X41-Debt!X29-Model!X25)*(Assumptions!$D$62+Assumptions!$D$63))</f>
        <v>-395955.40916239063</v>
      </c>
    </row>
    <row r="43" spans="2:24" ht="13.5" customHeight="1" x14ac:dyDescent="0.25">
      <c r="B43" s="16" t="s">
        <v>192</v>
      </c>
      <c r="C43" s="17" t="s">
        <v>20</v>
      </c>
      <c r="E43" s="37">
        <f t="shared" ref="E43:X43" si="10">E41+E42</f>
        <v>977328.57499999995</v>
      </c>
      <c r="F43" s="37">
        <f t="shared" si="10"/>
        <v>986931.53983124997</v>
      </c>
      <c r="G43" s="37">
        <f t="shared" si="10"/>
        <v>996516.56355871679</v>
      </c>
      <c r="H43" s="37">
        <f t="shared" si="10"/>
        <v>1006077.923538047</v>
      </c>
      <c r="I43" s="37">
        <f t="shared" si="10"/>
        <v>1015609.62351952</v>
      </c>
      <c r="J43" s="37">
        <f t="shared" si="10"/>
        <v>779391.42740045546</v>
      </c>
      <c r="K43" s="37">
        <f t="shared" si="10"/>
        <v>779294.00699205603</v>
      </c>
      <c r="L43" s="37">
        <f t="shared" si="10"/>
        <v>778396.38641848811</v>
      </c>
      <c r="M43" s="37">
        <f t="shared" si="10"/>
        <v>776620.82229189877</v>
      </c>
      <c r="N43" s="37">
        <f t="shared" si="10"/>
        <v>773882.49879540945</v>
      </c>
      <c r="O43" s="37">
        <f t="shared" si="10"/>
        <v>770088.87213943549</v>
      </c>
      <c r="P43" s="37">
        <f t="shared" si="10"/>
        <v>765138.95339049748</v>
      </c>
      <c r="Q43" s="37">
        <f t="shared" si="10"/>
        <v>758922.52384175931</v>
      </c>
      <c r="R43" s="37">
        <f t="shared" si="10"/>
        <v>751319.27654142398</v>
      </c>
      <c r="S43" s="37">
        <f t="shared" si="10"/>
        <v>745900.49926799862</v>
      </c>
      <c r="T43" s="37">
        <f t="shared" si="10"/>
        <v>757297.516972207</v>
      </c>
      <c r="U43" s="37">
        <f t="shared" si="10"/>
        <v>768799.24030065991</v>
      </c>
      <c r="V43" s="37">
        <f t="shared" si="10"/>
        <v>780403.45015029702</v>
      </c>
      <c r="W43" s="37">
        <f t="shared" si="10"/>
        <v>792107.73207345314</v>
      </c>
      <c r="X43" s="37">
        <f t="shared" si="10"/>
        <v>803909.46708727803</v>
      </c>
    </row>
    <row r="44" spans="2:24" ht="13.5" customHeight="1" x14ac:dyDescent="0.25">
      <c r="B44" s="16" t="s">
        <v>179</v>
      </c>
      <c r="C44" s="17" t="s">
        <v>20</v>
      </c>
      <c r="E44" s="45">
        <f>Debt!E30</f>
        <v>460850.5042425858</v>
      </c>
      <c r="F44" s="45">
        <f>Debt!F30</f>
        <v>465791.66574859561</v>
      </c>
      <c r="G44" s="45">
        <f>Debt!G30</f>
        <v>470744.76386492542</v>
      </c>
      <c r="H44" s="45">
        <f>Debt!H30</f>
        <v>475707.89952476649</v>
      </c>
      <c r="I44" s="45">
        <f>Debt!I30</f>
        <v>480679.07385452662</v>
      </c>
      <c r="J44" s="45">
        <f>Debt!J30</f>
        <v>485656.18420083803</v>
      </c>
      <c r="K44" s="45">
        <f>Debt!K30</f>
        <v>490637.02001160674</v>
      </c>
      <c r="L44" s="45">
        <f>Debt!L30</f>
        <v>495619.25856589648</v>
      </c>
      <c r="M44" s="45">
        <f>Debt!M30</f>
        <v>500600.46054725407</v>
      </c>
      <c r="N44" s="45">
        <f>Debt!N30</f>
        <v>505578.06545489392</v>
      </c>
      <c r="O44" s="45">
        <f>Debt!O30</f>
        <v>510549.38684696786</v>
      </c>
      <c r="P44" s="45">
        <f>Debt!P30</f>
        <v>515511.60740992951</v>
      </c>
      <c r="Q44" s="45">
        <f>Debt!Q30</f>
        <v>520461.77384781052</v>
      </c>
      <c r="R44" s="45">
        <f>Debt!R30</f>
        <v>525396.79158498661</v>
      </c>
      <c r="S44" s="45">
        <f>Debt!S30</f>
        <v>0</v>
      </c>
      <c r="T44" s="45">
        <f>Debt!T30</f>
        <v>0</v>
      </c>
      <c r="U44" s="45">
        <f>Debt!U30</f>
        <v>0</v>
      </c>
      <c r="V44" s="45">
        <f>Debt!V30</f>
        <v>0</v>
      </c>
      <c r="W44" s="45">
        <f>Debt!W30</f>
        <v>0</v>
      </c>
      <c r="X44" s="45">
        <f>Debt!X30</f>
        <v>0</v>
      </c>
    </row>
    <row r="45" spans="2:24" ht="13.5" customHeight="1" x14ac:dyDescent="0.25">
      <c r="B45" s="33" t="s">
        <v>193</v>
      </c>
      <c r="C45" s="17" t="s">
        <v>79</v>
      </c>
      <c r="E45" s="46">
        <f t="shared" ref="E45:X45" si="11">IFERROR(IF(E44=0,"",E43/E44),"")</f>
        <v>2.1207063158284987</v>
      </c>
      <c r="F45" s="46">
        <f t="shared" si="11"/>
        <v>2.118826102749404</v>
      </c>
      <c r="G45" s="46">
        <f t="shared" si="11"/>
        <v>2.1168935696216375</v>
      </c>
      <c r="H45" s="46">
        <f t="shared" si="11"/>
        <v>2.1149069093515616</v>
      </c>
      <c r="I45" s="46">
        <f t="shared" si="11"/>
        <v>2.1128642347074287</v>
      </c>
      <c r="J45" s="46">
        <f t="shared" si="11"/>
        <v>1.6048213793117196</v>
      </c>
      <c r="K45" s="46">
        <f t="shared" si="11"/>
        <v>1.5883310374207407</v>
      </c>
      <c r="L45" s="46">
        <f t="shared" si="11"/>
        <v>1.5705531473309247</v>
      </c>
      <c r="M45" s="46">
        <f t="shared" si="11"/>
        <v>1.5513785613439119</v>
      </c>
      <c r="N45" s="46">
        <f t="shared" si="11"/>
        <v>1.5306884370054872</v>
      </c>
      <c r="O45" s="46">
        <f t="shared" si="11"/>
        <v>1.5083533385385537</v>
      </c>
      <c r="P45" s="46">
        <f t="shared" si="11"/>
        <v>1.4842322508212058</v>
      </c>
      <c r="Q45" s="46">
        <f t="shared" si="11"/>
        <v>1.4581714968824544</v>
      </c>
      <c r="R45" s="46">
        <f t="shared" si="11"/>
        <v>1.4300035488889977</v>
      </c>
      <c r="S45" s="46" t="str">
        <f t="shared" si="11"/>
        <v/>
      </c>
      <c r="T45" s="46" t="str">
        <f t="shared" si="11"/>
        <v/>
      </c>
      <c r="U45" s="46" t="str">
        <f t="shared" si="11"/>
        <v/>
      </c>
      <c r="V45" s="46" t="str">
        <f t="shared" si="11"/>
        <v/>
      </c>
      <c r="W45" s="46" t="str">
        <f t="shared" si="11"/>
        <v/>
      </c>
      <c r="X45" s="46" t="str">
        <f t="shared" si="11"/>
        <v/>
      </c>
    </row>
    <row r="46" spans="2:24" ht="13.5" customHeight="1" x14ac:dyDescent="0.25">
      <c r="B46" s="16" t="s">
        <v>180</v>
      </c>
      <c r="C46" s="17" t="s">
        <v>20</v>
      </c>
      <c r="D46" s="37">
        <f>-Debt!$D$15</f>
        <v>-2406084.627121293</v>
      </c>
      <c r="E46" s="37">
        <f>E43-E44-Debt!E36</f>
        <v>514007.49000440928</v>
      </c>
      <c r="F46" s="37">
        <f>F43-F44-Debt!F36</f>
        <v>518663.32502448943</v>
      </c>
      <c r="G46" s="37">
        <f>G43-G44-Debt!G36</f>
        <v>523290.23186387087</v>
      </c>
      <c r="H46" s="37">
        <f>H43-H44-Debt!H36</f>
        <v>527884.43684840039</v>
      </c>
      <c r="I46" s="37">
        <f>I43-I44-Debt!I36</f>
        <v>532441.99449183769</v>
      </c>
      <c r="J46" s="37">
        <f>J43-J44-Debt!J36</f>
        <v>291244.82529423304</v>
      </c>
      <c r="K46" s="37">
        <f>K43-K44-Debt!K36</f>
        <v>286165.86770330445</v>
      </c>
      <c r="L46" s="37">
        <f>L43-L44-Debt!L36</f>
        <v>280286.5268619128</v>
      </c>
      <c r="M46" s="37">
        <f>M43-M44-Debt!M36</f>
        <v>273531.55929082481</v>
      </c>
      <c r="N46" s="37">
        <f>N43-N44-Debt!N36</f>
        <v>265818.77264447859</v>
      </c>
      <c r="O46" s="37">
        <f>O43-O44-Debt!O36</f>
        <v>257058.37501098675</v>
      </c>
      <c r="P46" s="37">
        <f>P43-P44-Debt!P36</f>
        <v>247152.2627616275</v>
      </c>
      <c r="Q46" s="37">
        <f>Q43-Q44-Debt!Q36</f>
        <v>235993.24112536074</v>
      </c>
      <c r="R46" s="37">
        <f>R43-R44-Debt!R36</f>
        <v>488620.88074893068</v>
      </c>
      <c r="S46" s="37">
        <f>S43-S44-Debt!S36</f>
        <v>745900.49926799862</v>
      </c>
      <c r="T46" s="37">
        <f>T43-T44-Debt!T36</f>
        <v>757297.516972207</v>
      </c>
      <c r="U46" s="37">
        <f>U43-U44-Debt!U36</f>
        <v>768799.24030065991</v>
      </c>
      <c r="V46" s="37">
        <f>V43-V44-Debt!V36</f>
        <v>780403.45015029702</v>
      </c>
      <c r="W46" s="37">
        <f>W43-W44-Debt!W36</f>
        <v>792107.73207345314</v>
      </c>
      <c r="X46" s="37">
        <f>X43-X44-Debt!X36</f>
        <v>803909.46708727803</v>
      </c>
    </row>
    <row r="48" spans="2:24" ht="16.5" customHeight="1" x14ac:dyDescent="0.25">
      <c r="B48" s="14" t="s">
        <v>216</v>
      </c>
      <c r="C48" s="15"/>
      <c r="D48" s="15"/>
      <c r="E48" s="15"/>
      <c r="F48" s="15"/>
      <c r="G48" s="15"/>
      <c r="H48" s="15"/>
      <c r="I48" s="15"/>
      <c r="J48" s="15"/>
      <c r="K48" s="15"/>
      <c r="L48" s="15"/>
      <c r="M48" s="15"/>
      <c r="N48" s="15"/>
      <c r="O48" s="15"/>
      <c r="P48" s="15"/>
      <c r="Q48" s="15"/>
      <c r="R48" s="15"/>
      <c r="S48" s="15"/>
      <c r="T48" s="15"/>
      <c r="U48" s="15"/>
      <c r="V48" s="15"/>
      <c r="W48" s="15"/>
      <c r="X48" s="15"/>
    </row>
    <row r="49" spans="2:24" ht="13.5" customHeight="1" x14ac:dyDescent="0.25">
      <c r="B49" s="16" t="s">
        <v>170</v>
      </c>
      <c r="C49" s="17" t="s">
        <v>20</v>
      </c>
      <c r="E49" s="37">
        <f>MAX(MIN(Model!E10*0.93,Assumptions!$D$35),Assumptions!$D$35*Assumptions!$D$36)*Model!E14*0.95</f>
        <v>1054693.0340625001</v>
      </c>
      <c r="F49" s="37">
        <f>MAX(MIN(Model!F10*0.93,Assumptions!$D$35),Assumptions!$D$35*Assumptions!$D$36)*Model!F14*0.95</f>
        <v>1074863.25</v>
      </c>
      <c r="G49" s="37">
        <f>MAX(MIN(Model!G10*0.93,Assumptions!$D$35),Assumptions!$D$35*Assumptions!$D$36)*Model!G14*0.95</f>
        <v>1096360.5149999999</v>
      </c>
      <c r="H49" s="37">
        <f>MAX(MIN(Model!H10*0.93,Assumptions!$D$35),Assumptions!$D$35*Assumptions!$D$36)*Model!H14*0.95</f>
        <v>1118287.7252999998</v>
      </c>
      <c r="I49" s="37">
        <f>MAX(MIN(Model!I10*0.93,Assumptions!$D$35),Assumptions!$D$35*Assumptions!$D$36)*Model!I14*0.95</f>
        <v>1140653.4798059999</v>
      </c>
      <c r="J49" s="37">
        <f>MAX(MIN(Model!J10*0.93,Assumptions!$D$35),Assumptions!$D$35*Assumptions!$D$36)*Model!J14*0.95</f>
        <v>1163466.5494021198</v>
      </c>
      <c r="K49" s="37">
        <f>MAX(MIN(Model!K10*0.93,Assumptions!$D$35),Assumptions!$D$35*Assumptions!$D$36)*Model!K14*0.95</f>
        <v>1186735.8803901626</v>
      </c>
      <c r="L49" s="37">
        <f>MAX(MIN(Model!L10*0.93,Assumptions!$D$35),Assumptions!$D$35*Assumptions!$D$36)*Model!L14*0.95</f>
        <v>1210470.5979979653</v>
      </c>
      <c r="M49" s="37">
        <f>MAX(MIN(Model!M10*0.93,Assumptions!$D$35),Assumptions!$D$35*Assumptions!$D$36)*Model!M14*0.95</f>
        <v>1234680.009957925</v>
      </c>
      <c r="N49" s="37">
        <f>MAX(MIN(Model!N10*0.93,Assumptions!$D$35),Assumptions!$D$35*Assumptions!$D$36)*Model!N14*0.95</f>
        <v>1259373.6101570833</v>
      </c>
      <c r="O49" s="37">
        <f>MAX(MIN(Model!O10*0.93,Assumptions!$D$35),Assumptions!$D$35*Assumptions!$D$36)*Model!O14*0.95</f>
        <v>1284561.082360225</v>
      </c>
      <c r="P49" s="37">
        <f>MAX(MIN(Model!P10*0.93,Assumptions!$D$35),Assumptions!$D$35*Assumptions!$D$36)*Model!P14*0.95</f>
        <v>1310252.3040074294</v>
      </c>
      <c r="Q49" s="37">
        <f>MAX(MIN(Model!Q10*0.93,Assumptions!$D$35),Assumptions!$D$35*Assumptions!$D$36)*Model!Q14*0.95</f>
        <v>1336457.3500875782</v>
      </c>
      <c r="R49" s="37">
        <f>MAX(MIN(Model!R10*0.93,Assumptions!$D$35),Assumptions!$D$35*Assumptions!$D$36)*Model!R14*0.95</f>
        <v>1363186.4970893294</v>
      </c>
      <c r="S49" s="37">
        <f>MAX(MIN(Model!S10*0.93,Assumptions!$D$35),Assumptions!$D$35*Assumptions!$D$36)*Model!S14*0.95</f>
        <v>1390450.2270311164</v>
      </c>
      <c r="T49" s="37">
        <f>MAX(MIN(Model!T10*0.93,Assumptions!$D$35),Assumptions!$D$35*Assumptions!$D$36)*Model!T14*0.95</f>
        <v>1418259.2315717381</v>
      </c>
      <c r="U49" s="37">
        <f>MAX(MIN(Model!U10*0.93,Assumptions!$D$35),Assumptions!$D$35*Assumptions!$D$36)*Model!U14*0.95</f>
        <v>1446624.4162031733</v>
      </c>
      <c r="V49" s="37">
        <f>MAX(MIN(Model!V10*0.93,Assumptions!$D$35),Assumptions!$D$35*Assumptions!$D$36)*Model!V14*0.95</f>
        <v>1475556.9045272369</v>
      </c>
      <c r="W49" s="37">
        <f>MAX(MIN(Model!W10*0.93,Assumptions!$D$35),Assumptions!$D$35*Assumptions!$D$36)*Model!W14*0.95</f>
        <v>1505068.0426177816</v>
      </c>
      <c r="X49" s="37">
        <f>MAX(MIN(Model!X10*0.93,Assumptions!$D$35),Assumptions!$D$35*Assumptions!$D$36)*Model!X14*0.95</f>
        <v>1535169.4034701372</v>
      </c>
    </row>
    <row r="50" spans="2:24" ht="13.5" customHeight="1" x14ac:dyDescent="0.25">
      <c r="B50" s="16" t="s">
        <v>171</v>
      </c>
      <c r="C50" s="17" t="s">
        <v>20</v>
      </c>
      <c r="E50" s="37">
        <f>Model!E18*1.1</f>
        <v>-198401.77500000002</v>
      </c>
      <c r="F50" s="37">
        <f>Model!F18*1.1</f>
        <v>-205345.83712499999</v>
      </c>
      <c r="G50" s="37">
        <f>Model!G18*1.1</f>
        <v>-212532.94142437499</v>
      </c>
      <c r="H50" s="37">
        <f>Model!H18*1.1</f>
        <v>-219971.59437422809</v>
      </c>
      <c r="I50" s="37">
        <f>Model!I18*1.1</f>
        <v>-227670.60017732607</v>
      </c>
      <c r="J50" s="37">
        <f>Model!J18*1.1</f>
        <v>-235639.07118353245</v>
      </c>
      <c r="K50" s="37">
        <f>Model!K18*1.1</f>
        <v>-243886.43867495609</v>
      </c>
      <c r="L50" s="37">
        <f>Model!L18*1.1</f>
        <v>-252422.46402857953</v>
      </c>
      <c r="M50" s="37">
        <f>Model!M18*1.1</f>
        <v>-261257.25026957979</v>
      </c>
      <c r="N50" s="37">
        <f>Model!N18*1.1</f>
        <v>-270401.25402901502</v>
      </c>
      <c r="O50" s="37">
        <f>Model!O18*1.1</f>
        <v>-279865.29792003054</v>
      </c>
      <c r="P50" s="37">
        <f>Model!P18*1.1</f>
        <v>-289660.58334723162</v>
      </c>
      <c r="Q50" s="37">
        <f>Model!Q18*1.1</f>
        <v>-299798.70376438473</v>
      </c>
      <c r="R50" s="37">
        <f>Model!R18*1.1</f>
        <v>-310291.65839613805</v>
      </c>
      <c r="S50" s="37">
        <f>Model!S18*1.1</f>
        <v>-321151.86644000298</v>
      </c>
      <c r="T50" s="37">
        <f>Model!T18*1.1</f>
        <v>-332392.18176540302</v>
      </c>
      <c r="U50" s="37">
        <f>Model!U18*1.1</f>
        <v>-344025.90812719206</v>
      </c>
      <c r="V50" s="37">
        <f>Model!V18*1.1</f>
        <v>-356066.81491164374</v>
      </c>
      <c r="W50" s="37">
        <f>Model!W18*1.1</f>
        <v>-368529.15343355126</v>
      </c>
      <c r="X50" s="37">
        <f>Model!X18*1.1</f>
        <v>-381427.67380372551</v>
      </c>
    </row>
    <row r="51" spans="2:24" ht="13.5" customHeight="1" x14ac:dyDescent="0.25">
      <c r="B51" s="16" t="s">
        <v>130</v>
      </c>
      <c r="C51" s="17" t="s">
        <v>20</v>
      </c>
      <c r="E51" s="37">
        <f t="shared" ref="E51:X51" si="12">E49+E50</f>
        <v>856291.25906250009</v>
      </c>
      <c r="F51" s="37">
        <f t="shared" si="12"/>
        <v>869517.41287500004</v>
      </c>
      <c r="G51" s="37">
        <f t="shared" si="12"/>
        <v>883827.57357562496</v>
      </c>
      <c r="H51" s="37">
        <f t="shared" si="12"/>
        <v>898316.13092577178</v>
      </c>
      <c r="I51" s="37">
        <f t="shared" si="12"/>
        <v>912982.87962867389</v>
      </c>
      <c r="J51" s="37">
        <f t="shared" si="12"/>
        <v>927827.47821858735</v>
      </c>
      <c r="K51" s="37">
        <f t="shared" si="12"/>
        <v>942849.44171520649</v>
      </c>
      <c r="L51" s="37">
        <f t="shared" si="12"/>
        <v>958048.13396938576</v>
      </c>
      <c r="M51" s="37">
        <f t="shared" si="12"/>
        <v>973422.75968834513</v>
      </c>
      <c r="N51" s="37">
        <f t="shared" si="12"/>
        <v>988972.35612806818</v>
      </c>
      <c r="O51" s="37">
        <f t="shared" si="12"/>
        <v>1004695.7844401945</v>
      </c>
      <c r="P51" s="37">
        <f t="shared" si="12"/>
        <v>1020591.7206601978</v>
      </c>
      <c r="Q51" s="37">
        <f t="shared" si="12"/>
        <v>1036658.6463231934</v>
      </c>
      <c r="R51" s="37">
        <f t="shared" si="12"/>
        <v>1052894.8386931913</v>
      </c>
      <c r="S51" s="37">
        <f t="shared" si="12"/>
        <v>1069298.3605911133</v>
      </c>
      <c r="T51" s="37">
        <f t="shared" si="12"/>
        <v>1085867.049806335</v>
      </c>
      <c r="U51" s="37">
        <f t="shared" si="12"/>
        <v>1102598.5080759814</v>
      </c>
      <c r="V51" s="37">
        <f t="shared" si="12"/>
        <v>1119490.0896155932</v>
      </c>
      <c r="W51" s="37">
        <f t="shared" si="12"/>
        <v>1136538.8891842302</v>
      </c>
      <c r="X51" s="37">
        <f t="shared" si="12"/>
        <v>1153741.7296664116</v>
      </c>
    </row>
    <row r="52" spans="2:24" ht="13.5" customHeight="1" x14ac:dyDescent="0.25">
      <c r="B52" s="16" t="s">
        <v>138</v>
      </c>
      <c r="C52" s="17" t="s">
        <v>20</v>
      </c>
      <c r="E52" s="37">
        <f>IF(Model!E27=1,0,-MAX(0,E51-Debt!E29-Model!E25)*(Assumptions!$D$62+Assumptions!$D$63))</f>
        <v>0</v>
      </c>
      <c r="F52" s="37">
        <f>IF(Model!F27=1,0,-MAX(0,F51-Debt!F29-Model!F25)*(Assumptions!$D$62+Assumptions!$D$63))</f>
        <v>0</v>
      </c>
      <c r="G52" s="37">
        <f>IF(Model!G27=1,0,-MAX(0,G51-Debt!G29-Model!G25)*(Assumptions!$D$62+Assumptions!$D$63))</f>
        <v>0</v>
      </c>
      <c r="H52" s="37">
        <f>IF(Model!H27=1,0,-MAX(0,H51-Debt!H29-Model!H25)*(Assumptions!$D$62+Assumptions!$D$63))</f>
        <v>0</v>
      </c>
      <c r="I52" s="37">
        <f>IF(Model!I27=1,0,-MAX(0,I51-Debt!I29-Model!I25)*(Assumptions!$D$62+Assumptions!$D$63))</f>
        <v>0</v>
      </c>
      <c r="J52" s="37">
        <f>IF(Model!J27=1,0,-MAX(0,J51-Debt!J29-Model!J25)*(Assumptions!$D$62+Assumptions!$D$63))</f>
        <v>-213612.24703299368</v>
      </c>
      <c r="K52" s="37">
        <f>IF(Model!K27=1,0,-MAX(0,K51-Debt!K29-Model!K25)*(Assumptions!$D$62+Assumptions!$D$63))</f>
        <v>-225000.58838755597</v>
      </c>
      <c r="L52" s="37">
        <f>IF(Model!L27=1,0,-MAX(0,L51-Debt!L29-Model!L25)*(Assumptions!$D$62+Assumptions!$D$63))</f>
        <v>-237214.3533078451</v>
      </c>
      <c r="M52" s="37">
        <f>IF(Model!M27=1,0,-MAX(0,M51-Debt!M29-Model!M25)*(Assumptions!$D$62+Assumptions!$D$63))</f>
        <v>-250326.19811544759</v>
      </c>
      <c r="N52" s="37">
        <f>IF(Model!N27=1,0,-MAX(0,N51-Debt!N29-Model!N25)*(Assumptions!$D$62+Assumptions!$D$63))</f>
        <v>-264415.57468345051</v>
      </c>
      <c r="O52" s="37">
        <f>IF(Model!O27=1,0,-MAX(0,O51-Debt!O29-Model!O25)*(Assumptions!$D$62+Assumptions!$D$63))</f>
        <v>-279569.37460877595</v>
      </c>
      <c r="P52" s="37">
        <f>IF(Model!P27=1,0,-MAX(0,P51-Debt!P29-Model!P25)*(Assumptions!$D$62+Assumptions!$D$63))</f>
        <v>-295882.63458466314</v>
      </c>
      <c r="Q52" s="37">
        <f>IF(Model!Q27=1,0,-MAX(0,Q51-Debt!Q29-Model!Q25)*(Assumptions!$D$62+Assumptions!$D$63))</f>
        <v>-313459.30878859881</v>
      </c>
      <c r="R52" s="37">
        <f>IF(Model!R27=1,0,-MAX(0,R51-Debt!R29-Model!R25)*(Assumptions!$D$62+Assumptions!$D$63))</f>
        <v>-332413.11465351167</v>
      </c>
      <c r="S52" s="37">
        <f>IF(Model!S27=1,0,-MAX(0,S51-Debt!S29-Model!S25)*(Assumptions!$D$62+Assumptions!$D$63))</f>
        <v>-352868.45899506734</v>
      </c>
      <c r="T52" s="37">
        <f>IF(Model!T27=1,0,-MAX(0,T51-Debt!T29-Model!T25)*(Assumptions!$D$62+Assumptions!$D$63))</f>
        <v>-358336.1264360905</v>
      </c>
      <c r="U52" s="37">
        <f>IF(Model!U27=1,0,-MAX(0,U51-Debt!U29-Model!U25)*(Assumptions!$D$62+Assumptions!$D$63))</f>
        <v>-363857.50766507379</v>
      </c>
      <c r="V52" s="37">
        <f>IF(Model!V27=1,0,-MAX(0,V51-Debt!V29-Model!V25)*(Assumptions!$D$62+Assumptions!$D$63))</f>
        <v>-369431.72957314568</v>
      </c>
      <c r="W52" s="37">
        <f>IF(Model!W27=1,0,-MAX(0,W51-Debt!W29-Model!W25)*(Assumptions!$D$62+Assumptions!$D$63))</f>
        <v>-375057.83343079593</v>
      </c>
      <c r="X52" s="37">
        <f>IF(Model!X27=1,0,-MAX(0,X51-Debt!X29-Model!X25)*(Assumptions!$D$62+Assumptions!$D$63))</f>
        <v>-380734.77078991581</v>
      </c>
    </row>
    <row r="53" spans="2:24" ht="13.5" customHeight="1" x14ac:dyDescent="0.25">
      <c r="B53" s="16" t="s">
        <v>192</v>
      </c>
      <c r="C53" s="17" t="s">
        <v>20</v>
      </c>
      <c r="E53" s="37">
        <f t="shared" ref="E53:X53" si="13">E51+E52</f>
        <v>856291.25906250009</v>
      </c>
      <c r="F53" s="37">
        <f t="shared" si="13"/>
        <v>869517.41287500004</v>
      </c>
      <c r="G53" s="37">
        <f t="shared" si="13"/>
        <v>883827.57357562496</v>
      </c>
      <c r="H53" s="37">
        <f t="shared" si="13"/>
        <v>898316.13092577178</v>
      </c>
      <c r="I53" s="37">
        <f t="shared" si="13"/>
        <v>912982.87962867389</v>
      </c>
      <c r="J53" s="37">
        <f t="shared" si="13"/>
        <v>714215.23118559364</v>
      </c>
      <c r="K53" s="37">
        <f t="shared" si="13"/>
        <v>717848.85332765058</v>
      </c>
      <c r="L53" s="37">
        <f t="shared" si="13"/>
        <v>720833.78066154069</v>
      </c>
      <c r="M53" s="37">
        <f t="shared" si="13"/>
        <v>723096.56157289748</v>
      </c>
      <c r="N53" s="37">
        <f t="shared" si="13"/>
        <v>724556.78144461766</v>
      </c>
      <c r="O53" s="37">
        <f t="shared" si="13"/>
        <v>725126.40983141854</v>
      </c>
      <c r="P53" s="37">
        <f t="shared" si="13"/>
        <v>724709.08607553458</v>
      </c>
      <c r="Q53" s="37">
        <f t="shared" si="13"/>
        <v>723199.33753459458</v>
      </c>
      <c r="R53" s="37">
        <f t="shared" si="13"/>
        <v>720481.72403967963</v>
      </c>
      <c r="S53" s="37">
        <f t="shared" si="13"/>
        <v>716429.90159604605</v>
      </c>
      <c r="T53" s="37">
        <f t="shared" si="13"/>
        <v>727530.92337024445</v>
      </c>
      <c r="U53" s="37">
        <f t="shared" si="13"/>
        <v>738741.00041090767</v>
      </c>
      <c r="V53" s="37">
        <f t="shared" si="13"/>
        <v>750058.36004244746</v>
      </c>
      <c r="W53" s="37">
        <f t="shared" si="13"/>
        <v>761481.05575343431</v>
      </c>
      <c r="X53" s="37">
        <f t="shared" si="13"/>
        <v>773006.95887649583</v>
      </c>
    </row>
    <row r="54" spans="2:24" ht="13.5" customHeight="1" x14ac:dyDescent="0.25">
      <c r="B54" s="16" t="s">
        <v>179</v>
      </c>
      <c r="C54" s="17" t="s">
        <v>20</v>
      </c>
      <c r="E54" s="45">
        <f>Debt!E30</f>
        <v>460850.5042425858</v>
      </c>
      <c r="F54" s="45">
        <f>Debt!F30</f>
        <v>465791.66574859561</v>
      </c>
      <c r="G54" s="45">
        <f>Debt!G30</f>
        <v>470744.76386492542</v>
      </c>
      <c r="H54" s="45">
        <f>Debt!H30</f>
        <v>475707.89952476649</v>
      </c>
      <c r="I54" s="45">
        <f>Debt!I30</f>
        <v>480679.07385452662</v>
      </c>
      <c r="J54" s="45">
        <f>Debt!J30</f>
        <v>485656.18420083803</v>
      </c>
      <c r="K54" s="45">
        <f>Debt!K30</f>
        <v>490637.02001160674</v>
      </c>
      <c r="L54" s="45">
        <f>Debt!L30</f>
        <v>495619.25856589648</v>
      </c>
      <c r="M54" s="45">
        <f>Debt!M30</f>
        <v>500600.46054725407</v>
      </c>
      <c r="N54" s="45">
        <f>Debt!N30</f>
        <v>505578.06545489392</v>
      </c>
      <c r="O54" s="45">
        <f>Debt!O30</f>
        <v>510549.38684696786</v>
      </c>
      <c r="P54" s="45">
        <f>Debt!P30</f>
        <v>515511.60740992951</v>
      </c>
      <c r="Q54" s="45">
        <f>Debt!Q30</f>
        <v>520461.77384781052</v>
      </c>
      <c r="R54" s="45">
        <f>Debt!R30</f>
        <v>525396.79158498661</v>
      </c>
      <c r="S54" s="45">
        <f>Debt!S30</f>
        <v>0</v>
      </c>
      <c r="T54" s="45">
        <f>Debt!T30</f>
        <v>0</v>
      </c>
      <c r="U54" s="45">
        <f>Debt!U30</f>
        <v>0</v>
      </c>
      <c r="V54" s="45">
        <f>Debt!V30</f>
        <v>0</v>
      </c>
      <c r="W54" s="45">
        <f>Debt!W30</f>
        <v>0</v>
      </c>
      <c r="X54" s="45">
        <f>Debt!X30</f>
        <v>0</v>
      </c>
    </row>
    <row r="55" spans="2:24" ht="13.5" customHeight="1" x14ac:dyDescent="0.25">
      <c r="B55" s="33" t="s">
        <v>193</v>
      </c>
      <c r="C55" s="17" t="s">
        <v>79</v>
      </c>
      <c r="E55" s="46">
        <f t="shared" ref="E55:X55" si="14">IFERROR(IF(E54=0,"",E53/E54),"")</f>
        <v>1.8580673150609364</v>
      </c>
      <c r="F55" s="46">
        <f t="shared" si="14"/>
        <v>1.8667517622445173</v>
      </c>
      <c r="G55" s="46">
        <f t="shared" si="14"/>
        <v>1.8775090907420666</v>
      </c>
      <c r="H55" s="46">
        <f t="shared" si="14"/>
        <v>1.8883775775495679</v>
      </c>
      <c r="I55" s="46">
        <f t="shared" si="14"/>
        <v>1.8993605698445286</v>
      </c>
      <c r="J55" s="46">
        <f t="shared" si="14"/>
        <v>1.4706190396007341</v>
      </c>
      <c r="K55" s="46">
        <f t="shared" si="14"/>
        <v>1.4630955758508986</v>
      </c>
      <c r="L55" s="46">
        <f t="shared" si="14"/>
        <v>1.454410352711708</v>
      </c>
      <c r="M55" s="46">
        <f t="shared" si="14"/>
        <v>1.4444584425320179</v>
      </c>
      <c r="N55" s="46">
        <f t="shared" si="14"/>
        <v>1.433125428004274</v>
      </c>
      <c r="O55" s="46">
        <f t="shared" si="14"/>
        <v>1.4202865158836593</v>
      </c>
      <c r="P55" s="46">
        <f t="shared" si="14"/>
        <v>1.4058055641398068</v>
      </c>
      <c r="Q55" s="46">
        <f t="shared" si="14"/>
        <v>1.3895340135893766</v>
      </c>
      <c r="R55" s="46">
        <f t="shared" si="14"/>
        <v>1.3713097140661481</v>
      </c>
      <c r="S55" s="46" t="str">
        <f t="shared" si="14"/>
        <v/>
      </c>
      <c r="T55" s="46" t="str">
        <f t="shared" si="14"/>
        <v/>
      </c>
      <c r="U55" s="46" t="str">
        <f t="shared" si="14"/>
        <v/>
      </c>
      <c r="V55" s="46" t="str">
        <f t="shared" si="14"/>
        <v/>
      </c>
      <c r="W55" s="46" t="str">
        <f t="shared" si="14"/>
        <v/>
      </c>
      <c r="X55" s="46" t="str">
        <f t="shared" si="14"/>
        <v/>
      </c>
    </row>
    <row r="56" spans="2:24" ht="13.5" customHeight="1" x14ac:dyDescent="0.25">
      <c r="B56" s="16" t="s">
        <v>180</v>
      </c>
      <c r="C56" s="17" t="s">
        <v>20</v>
      </c>
      <c r="D56" s="37">
        <f>-Debt!$D$15</f>
        <v>-2406084.627121293</v>
      </c>
      <c r="E56" s="37">
        <f>E53-E54-Debt!E36</f>
        <v>392970.17406690941</v>
      </c>
      <c r="F56" s="37">
        <f>F53-F54-Debt!F36</f>
        <v>401249.19806823949</v>
      </c>
      <c r="G56" s="37">
        <f>G53-G54-Debt!G36</f>
        <v>410601.24188077904</v>
      </c>
      <c r="H56" s="37">
        <f>H53-H54-Debt!H36</f>
        <v>420122.64423612517</v>
      </c>
      <c r="I56" s="37">
        <f>I53-I54-Debt!I36</f>
        <v>429815.2506009916</v>
      </c>
      <c r="J56" s="37">
        <f>J53-J54-Debt!J36</f>
        <v>226068.62907937123</v>
      </c>
      <c r="K56" s="37">
        <f>K53-K54-Debt!K36</f>
        <v>224720.71403889899</v>
      </c>
      <c r="L56" s="37">
        <f>L53-L54-Debt!L36</f>
        <v>222723.92110496538</v>
      </c>
      <c r="M56" s="37">
        <f>M53-M54-Debt!M36</f>
        <v>220007.29857182351</v>
      </c>
      <c r="N56" s="37">
        <f>N53-N54-Debt!N36</f>
        <v>216493.0552936868</v>
      </c>
      <c r="O56" s="37">
        <f>O53-O54-Debt!O36</f>
        <v>212095.9127029698</v>
      </c>
      <c r="P56" s="37">
        <f>P53-P54-Debt!P36</f>
        <v>206722.3954466646</v>
      </c>
      <c r="Q56" s="37">
        <f>Q53-Q54-Debt!Q36</f>
        <v>200270.05481819602</v>
      </c>
      <c r="R56" s="37">
        <f>R53-R54-Debt!R36</f>
        <v>457783.32824718632</v>
      </c>
      <c r="S56" s="37">
        <f>S53-S54-Debt!S36</f>
        <v>716429.90159604605</v>
      </c>
      <c r="T56" s="37">
        <f>T53-T54-Debt!T36</f>
        <v>727530.92337024445</v>
      </c>
      <c r="U56" s="37">
        <f>U53-U54-Debt!U36</f>
        <v>738741.00041090767</v>
      </c>
      <c r="V56" s="37">
        <f>V53-V54-Debt!V36</f>
        <v>750058.36004244746</v>
      </c>
      <c r="W56" s="37">
        <f>W53-W54-Debt!W36</f>
        <v>761481.05575343431</v>
      </c>
      <c r="X56" s="37">
        <f>X53-X54-Debt!X36</f>
        <v>773006.95887649583</v>
      </c>
    </row>
    <row r="58" spans="2:24" ht="16.5" customHeight="1" x14ac:dyDescent="0.25">
      <c r="B58" s="14" t="s">
        <v>217</v>
      </c>
      <c r="C58" s="15"/>
      <c r="D58" s="15"/>
      <c r="E58" s="15"/>
      <c r="F58" s="15"/>
    </row>
    <row r="59" spans="2:24" x14ac:dyDescent="0.25">
      <c r="B59" s="52" t="s">
        <v>218</v>
      </c>
      <c r="D59" s="52" t="s">
        <v>219</v>
      </c>
      <c r="E59" s="52" t="s">
        <v>202</v>
      </c>
      <c r="F59" s="52" t="s">
        <v>220</v>
      </c>
    </row>
    <row r="60" spans="2:24" x14ac:dyDescent="0.25">
      <c r="B60" s="53" t="s">
        <v>221</v>
      </c>
      <c r="D60" s="48">
        <f>MIN(E15:X15)</f>
        <v>1.5019475848339749</v>
      </c>
      <c r="E60" s="50">
        <f>IRR(D16:X16)</f>
        <v>0.19909562964159933</v>
      </c>
      <c r="F60" s="53" t="str">
        <f>IF(D60&gt;=Assumptions!$D$55,"Covenant satisfied","BREACH — below covenant")</f>
        <v>Covenant satisfied</v>
      </c>
    </row>
    <row r="61" spans="2:24" x14ac:dyDescent="0.25">
      <c r="B61" s="53" t="s">
        <v>222</v>
      </c>
      <c r="D61" s="48">
        <f>MIN(E25:X25)</f>
        <v>1.3186438220767192</v>
      </c>
      <c r="E61" s="50">
        <f>IRR(D26:X26)</f>
        <v>0.14866951654271321</v>
      </c>
      <c r="F61" s="53" t="str">
        <f>IF(D61&gt;=Assumptions!$D$55,"Covenant satisfied","BREACH — below covenant")</f>
        <v>Covenant satisfied</v>
      </c>
    </row>
    <row r="62" spans="2:24" x14ac:dyDescent="0.25">
      <c r="B62" s="53" t="s">
        <v>223</v>
      </c>
      <c r="D62" s="48">
        <f>MIN(E35:X35)</f>
        <v>1.4987749833427011</v>
      </c>
      <c r="E62" s="50">
        <f>IRR(D36:X36)</f>
        <v>0.17469301050782171</v>
      </c>
      <c r="F62" s="53" t="str">
        <f>IF(D62&gt;=Assumptions!$D$55,"Covenant satisfied","BREACH — below covenant")</f>
        <v>Covenant satisfied</v>
      </c>
    </row>
    <row r="63" spans="2:24" x14ac:dyDescent="0.25">
      <c r="B63" s="53" t="s">
        <v>224</v>
      </c>
      <c r="D63" s="48">
        <f>MIN(E45:X45)</f>
        <v>1.4300035488889977</v>
      </c>
      <c r="E63" s="50">
        <f>IRR(D46:X46)</f>
        <v>0.18230285139484548</v>
      </c>
      <c r="F63" s="53" t="str">
        <f>IF(D63&gt;=Assumptions!$D$55,"Covenant satisfied","BREACH — below covenant")</f>
        <v>Covenant satisfied</v>
      </c>
    </row>
    <row r="64" spans="2:24" x14ac:dyDescent="0.25">
      <c r="B64" s="53" t="s">
        <v>225</v>
      </c>
      <c r="D64" s="48">
        <f>MIN(E55:X55)</f>
        <v>1.3713097140661481</v>
      </c>
      <c r="E64" s="50">
        <f>IRR(D56:X56)</f>
        <v>0.14373092573207402</v>
      </c>
      <c r="F64" s="53" t="str">
        <f>IF(D64&gt;=Assumptions!$D$55,"Covenant satisfied","BREACH — below covenant")</f>
        <v>Covenant satisfied</v>
      </c>
    </row>
  </sheetData>
  <pageMargins left="0.75" right="0.75" top="1" bottom="1" header="0.511811023622047" footer="0.511811023622047"/>
  <pageSetup paperSize="9" orientation="portrait" horizontalDpi="300" verticalDpi="300"/>
  <ignoredErrors>
    <ignoredError sqref="E12:G12 E32:X32 X42 V42 T42 R42:S42 P42:Q42 N42:O42 K42:M42 G42:J42 E52:X52 E42:F42 E22:X22 O12:X12 H12:N12"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E34"/>
  <sheetViews>
    <sheetView showGridLines="0" topLeftCell="A14" zoomScaleNormal="100" workbookViewId="0">
      <selection activeCell="J7" sqref="J7"/>
    </sheetView>
  </sheetViews>
  <sheetFormatPr defaultColWidth="8.7109375" defaultRowHeight="15" x14ac:dyDescent="0.25"/>
  <cols>
    <col min="1" max="1" width="2" customWidth="1"/>
    <col min="2" max="2" width="44" customWidth="1"/>
    <col min="3" max="3" width="11" customWidth="1"/>
    <col min="4" max="4" width="18" customWidth="1"/>
    <col min="5" max="5" width="46" customWidth="1"/>
  </cols>
  <sheetData>
    <row r="2" spans="2:5" ht="19.5" x14ac:dyDescent="0.3">
      <c r="B2" s="11" t="s">
        <v>0</v>
      </c>
    </row>
    <row r="3" spans="2:5" x14ac:dyDescent="0.25">
      <c r="B3" s="12" t="s">
        <v>226</v>
      </c>
    </row>
    <row r="4" spans="2:5" x14ac:dyDescent="0.25">
      <c r="B4" s="13" t="s">
        <v>248</v>
      </c>
    </row>
    <row r="6" spans="2:5" ht="16.5" customHeight="1" x14ac:dyDescent="0.25">
      <c r="B6" s="14" t="s">
        <v>227</v>
      </c>
      <c r="C6" s="15"/>
      <c r="D6" s="15"/>
      <c r="E6" s="15"/>
    </row>
    <row r="7" spans="2:5" ht="13.5" customHeight="1" x14ac:dyDescent="0.25">
      <c r="B7" s="16" t="s">
        <v>228</v>
      </c>
      <c r="C7" s="17"/>
      <c r="D7" s="54" t="s">
        <v>229</v>
      </c>
      <c r="E7" s="54"/>
    </row>
    <row r="8" spans="2:5" ht="13.5" customHeight="1" x14ac:dyDescent="0.25">
      <c r="B8" s="16" t="s">
        <v>230</v>
      </c>
      <c r="C8" s="17"/>
      <c r="D8" s="54" t="s">
        <v>231</v>
      </c>
      <c r="E8" s="54"/>
    </row>
    <row r="9" spans="2:5" ht="13.5" customHeight="1" x14ac:dyDescent="0.25">
      <c r="B9" s="16" t="s">
        <v>232</v>
      </c>
      <c r="C9" s="17"/>
      <c r="D9" s="54" t="s">
        <v>233</v>
      </c>
      <c r="E9" s="54"/>
    </row>
    <row r="11" spans="2:5" ht="16.5" customHeight="1" x14ac:dyDescent="0.25">
      <c r="B11" s="14" t="s">
        <v>234</v>
      </c>
      <c r="C11" s="15"/>
      <c r="D11" s="15"/>
      <c r="E11" s="15"/>
    </row>
    <row r="12" spans="2:5" ht="13.5" customHeight="1" x14ac:dyDescent="0.25">
      <c r="B12" s="16" t="s">
        <v>205</v>
      </c>
      <c r="C12" s="17"/>
      <c r="D12" s="26">
        <f>Debt!$D$12</f>
        <v>6085914.627121293</v>
      </c>
      <c r="E12" s="49"/>
    </row>
    <row r="13" spans="2:5" ht="13.5" customHeight="1" x14ac:dyDescent="0.25">
      <c r="B13" s="16" t="s">
        <v>148</v>
      </c>
      <c r="C13" s="17"/>
      <c r="D13" s="26">
        <f>Debt!$D$14</f>
        <v>3679830</v>
      </c>
      <c r="E13" s="49"/>
    </row>
    <row r="14" spans="2:5" ht="13.5" customHeight="1" x14ac:dyDescent="0.25">
      <c r="B14" s="16" t="s">
        <v>149</v>
      </c>
      <c r="C14" s="17"/>
      <c r="D14" s="26">
        <f>Debt!$D$15</f>
        <v>2406084.627121293</v>
      </c>
      <c r="E14" s="49"/>
    </row>
    <row r="15" spans="2:5" ht="13.5" customHeight="1" x14ac:dyDescent="0.25">
      <c r="B15" s="16" t="s">
        <v>235</v>
      </c>
      <c r="C15" s="17"/>
      <c r="D15" s="50">
        <f>Debt!$D$18</f>
        <v>0.60464699645985698</v>
      </c>
      <c r="E15" s="49"/>
    </row>
    <row r="17" spans="2:5" ht="16.5" customHeight="1" x14ac:dyDescent="0.25">
      <c r="B17" s="14" t="s">
        <v>236</v>
      </c>
      <c r="C17" s="15"/>
      <c r="D17" s="15"/>
      <c r="E17" s="15"/>
    </row>
    <row r="18" spans="2:5" ht="13.5" customHeight="1" x14ac:dyDescent="0.25">
      <c r="B18" s="16" t="s">
        <v>237</v>
      </c>
      <c r="C18" s="17"/>
      <c r="D18" s="50">
        <f>Returns!$D$19</f>
        <v>0.15184688373705768</v>
      </c>
      <c r="E18" s="49"/>
    </row>
    <row r="19" spans="2:5" ht="13.5" customHeight="1" x14ac:dyDescent="0.25">
      <c r="B19" s="16" t="s">
        <v>202</v>
      </c>
      <c r="C19" s="17"/>
      <c r="D19" s="50">
        <f>Returns!$D$20</f>
        <v>0.19909562964159933</v>
      </c>
      <c r="E19" s="49" t="s">
        <v>238</v>
      </c>
    </row>
    <row r="20" spans="2:5" ht="13.5" customHeight="1" x14ac:dyDescent="0.25">
      <c r="B20" s="16" t="s">
        <v>239</v>
      </c>
      <c r="C20" s="17"/>
      <c r="D20" s="26">
        <f>Returns!$D$21</f>
        <v>220586.41769867809</v>
      </c>
      <c r="E20" s="49"/>
    </row>
    <row r="22" spans="2:5" ht="16.5" customHeight="1" x14ac:dyDescent="0.25">
      <c r="B22" s="14" t="s">
        <v>240</v>
      </c>
      <c r="C22" s="15"/>
      <c r="D22" s="15"/>
      <c r="E22" s="15"/>
    </row>
    <row r="23" spans="2:5" ht="13.5" customHeight="1" x14ac:dyDescent="0.25">
      <c r="B23" s="16" t="s">
        <v>196</v>
      </c>
      <c r="C23" s="17"/>
      <c r="D23" s="48">
        <f>Returns!$D$15</f>
        <v>1.5019475848339749</v>
      </c>
      <c r="E23" s="49" t="s">
        <v>197</v>
      </c>
    </row>
    <row r="24" spans="2:5" ht="13.5" customHeight="1" x14ac:dyDescent="0.25">
      <c r="B24" s="16" t="s">
        <v>198</v>
      </c>
      <c r="C24" s="17"/>
      <c r="D24" s="48">
        <f>Returns!$D$16</f>
        <v>1.8078006456879614</v>
      </c>
      <c r="E24" s="49"/>
    </row>
    <row r="25" spans="2:5" ht="13.5" customHeight="1" x14ac:dyDescent="0.25">
      <c r="B25" s="16" t="s">
        <v>241</v>
      </c>
      <c r="C25" s="17"/>
      <c r="D25" s="48">
        <f>Returns!$D$17</f>
        <v>2.1686715287081966</v>
      </c>
      <c r="E25" s="49"/>
    </row>
    <row r="27" spans="2:5" ht="16.5" customHeight="1" x14ac:dyDescent="0.25">
      <c r="B27" s="14" t="s">
        <v>242</v>
      </c>
      <c r="C27" s="15"/>
      <c r="D27" s="15"/>
      <c r="E27" s="15"/>
    </row>
    <row r="28" spans="2:5" ht="13.5" customHeight="1" x14ac:dyDescent="0.25">
      <c r="B28" s="16" t="s">
        <v>243</v>
      </c>
      <c r="C28" s="17"/>
      <c r="D28" s="26">
        <f>Model!E15</f>
        <v>1193766.875</v>
      </c>
      <c r="E28" s="49"/>
    </row>
    <row r="29" spans="2:5" ht="13.5" customHeight="1" x14ac:dyDescent="0.25">
      <c r="B29" s="16" t="s">
        <v>244</v>
      </c>
      <c r="C29" s="17"/>
      <c r="D29" s="26">
        <f>Model!E19</f>
        <v>1013401.625</v>
      </c>
      <c r="E29" s="49"/>
    </row>
    <row r="30" spans="2:5" ht="13.5" customHeight="1" x14ac:dyDescent="0.25">
      <c r="B30" s="16" t="s">
        <v>245</v>
      </c>
      <c r="C30" s="17"/>
      <c r="D30" s="50">
        <f>Model!E20</f>
        <v>0.84891082691501218</v>
      </c>
      <c r="E30" s="49"/>
    </row>
    <row r="31" spans="2:5" ht="13.5" customHeight="1" x14ac:dyDescent="0.25">
      <c r="B31" s="16" t="s">
        <v>246</v>
      </c>
      <c r="C31" s="17"/>
      <c r="D31" s="51">
        <f>Returns!$D$26</f>
        <v>1.1151</v>
      </c>
      <c r="E31" s="49"/>
    </row>
    <row r="34" spans="2:5" x14ac:dyDescent="0.25">
      <c r="B34" s="55" t="s">
        <v>247</v>
      </c>
      <c r="C34" s="55"/>
      <c r="D34" s="55"/>
      <c r="E34" s="55"/>
    </row>
  </sheetData>
  <mergeCells count="4">
    <mergeCell ref="D7:E7"/>
    <mergeCell ref="D8:E8"/>
    <mergeCell ref="D9:E9"/>
    <mergeCell ref="B34:E3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vt:lpstr>
      <vt:lpstr>Assumptions</vt:lpstr>
      <vt:lpstr>Model</vt:lpstr>
      <vt:lpstr>Debt</vt:lpstr>
      <vt:lpstr>Financials</vt:lpstr>
      <vt:lpstr>Returns</vt:lpstr>
      <vt:lpstr>Sensitivities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Zayyad Yusuf</cp:lastModifiedBy>
  <cp:revision>0</cp:revision>
  <dcterms:created xsi:type="dcterms:W3CDTF">2026-08-05T11:53:03Z</dcterms:created>
  <dcterms:modified xsi:type="dcterms:W3CDTF">2026-09-16T09:43:02Z</dcterms:modified>
  <dc:language>en-US</dc:language>
</cp:coreProperties>
</file>